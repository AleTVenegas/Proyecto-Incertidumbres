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TEC\5- Semestre\Incertidumbres\Proyecto\"/>
    </mc:Choice>
  </mc:AlternateContent>
  <xr:revisionPtr revIDLastSave="0" documentId="13_ncr:1_{A7D9EAB5-D268-4C3B-82A0-A8543F42EFB5}" xr6:coauthVersionLast="47" xr6:coauthVersionMax="47" xr10:uidLastSave="{00000000-0000-0000-0000-000000000000}"/>
  <bookViews>
    <workbookView xWindow="28710" yWindow="16155" windowWidth="29040" windowHeight="15720" activeTab="1" xr2:uid="{27EE91AC-A3FD-46F5-B41F-43D89BC486FC}"/>
  </bookViews>
  <sheets>
    <sheet name="Portada" sheetId="1" r:id="rId1"/>
    <sheet name="Datos" sheetId="2" r:id="rId2"/>
    <sheet name="Incertidumbres" sheetId="3" r:id="rId3"/>
  </sheets>
  <definedNames>
    <definedName name="_xlchart.v1.0" hidden="1">Datos!$AI$11:$AI$20</definedName>
    <definedName name="_xlchart.v1.1" hidden="1">Datos!$AF$11:$AF$20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L7" i="3"/>
  <c r="K7" i="3"/>
  <c r="K5" i="3"/>
  <c r="K4" i="2"/>
  <c r="AI20" i="2" s="1"/>
  <c r="AC4" i="2"/>
  <c r="Y4" i="2"/>
  <c r="G4" i="2"/>
  <c r="C4" i="2"/>
  <c r="K8" i="2"/>
  <c r="Y8" i="2"/>
  <c r="AC8" i="2"/>
  <c r="AD20" i="2"/>
  <c r="Z20" i="2"/>
  <c r="M7" i="3"/>
  <c r="C7" i="2"/>
  <c r="G7" i="3" s="1"/>
  <c r="G7" i="2"/>
  <c r="I7" i="3" s="1"/>
  <c r="G6" i="2"/>
  <c r="AD12" i="2"/>
  <c r="AD13" i="2"/>
  <c r="AD14" i="2"/>
  <c r="AD15" i="2"/>
  <c r="AD16" i="2"/>
  <c r="AD17" i="2"/>
  <c r="AD18" i="2"/>
  <c r="AD19" i="2"/>
  <c r="AD11" i="2"/>
  <c r="D16" i="2"/>
  <c r="D11" i="2"/>
  <c r="Z16" i="2"/>
  <c r="Z17" i="2"/>
  <c r="Z18" i="2"/>
  <c r="Z19" i="2"/>
  <c r="U19" i="2"/>
  <c r="V19" i="2" s="1"/>
  <c r="Z15" i="2"/>
  <c r="U16" i="2"/>
  <c r="AI16" i="2" s="1"/>
  <c r="U17" i="2"/>
  <c r="AI17" i="2" s="1"/>
  <c r="U18" i="2"/>
  <c r="V18" i="2"/>
  <c r="L19" i="2"/>
  <c r="L18" i="2"/>
  <c r="L17" i="2"/>
  <c r="L16" i="2"/>
  <c r="L15" i="2"/>
  <c r="H9" i="3"/>
  <c r="U13" i="2"/>
  <c r="U14" i="2"/>
  <c r="AI14" i="2" s="1"/>
  <c r="U15" i="2"/>
  <c r="U11" i="2"/>
  <c r="AI11" i="2" s="1"/>
  <c r="L5" i="3"/>
  <c r="M5" i="3"/>
  <c r="O4" i="2"/>
  <c r="U12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G8" i="2"/>
  <c r="I6" i="3" s="1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12" i="2"/>
  <c r="H13" i="2"/>
  <c r="H14" i="2"/>
  <c r="H15" i="2"/>
  <c r="D19" i="2"/>
  <c r="D20" i="2"/>
  <c r="D21" i="2"/>
  <c r="D22" i="2"/>
  <c r="D23" i="2"/>
  <c r="D24" i="2"/>
  <c r="D25" i="2"/>
  <c r="D26" i="2"/>
  <c r="D27" i="2"/>
  <c r="D28" i="2"/>
  <c r="D29" i="2"/>
  <c r="D30" i="2"/>
  <c r="C8" i="2"/>
  <c r="G6" i="3" s="1"/>
  <c r="Z14" i="2"/>
  <c r="Z13" i="2"/>
  <c r="Z12" i="2"/>
  <c r="Z11" i="2"/>
  <c r="L12" i="2"/>
  <c r="L13" i="2"/>
  <c r="L14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1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17" i="2"/>
  <c r="D18" i="2"/>
  <c r="D12" i="2"/>
  <c r="D13" i="2"/>
  <c r="D14" i="2"/>
  <c r="D15" i="2"/>
  <c r="U6" i="2"/>
  <c r="J5" i="3" s="1"/>
  <c r="AI15" i="2" l="1"/>
  <c r="V16" i="2"/>
  <c r="AI13" i="2"/>
  <c r="V12" i="2"/>
  <c r="AI12" i="2"/>
  <c r="AI19" i="2"/>
  <c r="V14" i="2"/>
  <c r="V13" i="2"/>
  <c r="V15" i="2"/>
  <c r="AI18" i="2"/>
  <c r="AI22" i="2" s="1"/>
  <c r="M6" i="3"/>
  <c r="M9" i="3" s="1"/>
  <c r="L6" i="3"/>
  <c r="K6" i="3"/>
  <c r="K9" i="3" s="1"/>
  <c r="G5" i="3"/>
  <c r="I5" i="3"/>
  <c r="V17" i="2"/>
  <c r="U7" i="2"/>
  <c r="V11" i="2"/>
  <c r="U4" i="2"/>
  <c r="C4" i="3" s="1"/>
  <c r="H11" i="2"/>
  <c r="AI23" i="2" l="1"/>
  <c r="K11" i="3"/>
  <c r="M11" i="3"/>
  <c r="L11" i="3"/>
  <c r="J6" i="3"/>
  <c r="J9" i="3" s="1"/>
  <c r="C2" i="3"/>
  <c r="G11" i="3" s="1"/>
  <c r="G9" i="3"/>
  <c r="L9" i="3"/>
  <c r="I9" i="3"/>
  <c r="G13" i="3" l="1"/>
  <c r="J11" i="3" l="1"/>
  <c r="J13" i="3" s="1"/>
  <c r="J12" i="3" s="1"/>
  <c r="I11" i="3"/>
  <c r="I13" i="3" s="1"/>
  <c r="I12" i="3" s="1"/>
  <c r="H11" i="3"/>
  <c r="H13" i="3" s="1"/>
  <c r="H12" i="3" s="1"/>
  <c r="G12" i="3" l="1"/>
  <c r="M13" i="3"/>
  <c r="M12" i="3" s="1"/>
  <c r="L13" i="3"/>
  <c r="L12" i="3" s="1"/>
  <c r="K13" i="3"/>
  <c r="G15" i="3" l="1"/>
  <c r="K12" i="3"/>
  <c r="G17" i="3" l="1"/>
  <c r="G19" i="3" s="1"/>
  <c r="G16" i="3"/>
  <c r="H14" i="3" l="1"/>
  <c r="I14" i="3"/>
  <c r="M14" i="3"/>
  <c r="G14" i="3"/>
  <c r="J14" i="3"/>
  <c r="L14" i="3"/>
  <c r="K14" i="3"/>
</calcChain>
</file>

<file path=xl/sharedStrings.xml><?xml version="1.0" encoding="utf-8"?>
<sst xmlns="http://schemas.openxmlformats.org/spreadsheetml/2006/main" count="115" uniqueCount="60">
  <si>
    <t>EXPERIMENTO PROYECTO INCERTIDUMBRES</t>
  </si>
  <si>
    <t>Realizado por:</t>
  </si>
  <si>
    <t>Sebastián Chaves Rojas</t>
  </si>
  <si>
    <t>John Fred Granados Gomez</t>
  </si>
  <si>
    <t>Andrés Rodriguez Gamboa</t>
  </si>
  <si>
    <t>Alejandro Torres Venegas</t>
  </si>
  <si>
    <t>Datos Constantes</t>
  </si>
  <si>
    <t>Datos por iteración</t>
  </si>
  <si>
    <t>Masa de esfera:</t>
  </si>
  <si>
    <t>kg</t>
  </si>
  <si>
    <t>Diámetro esfera:</t>
  </si>
  <si>
    <t>m</t>
  </si>
  <si>
    <t>Temperatura ambiente:</t>
  </si>
  <si>
    <t>°C</t>
  </si>
  <si>
    <t>Capacidad calorífica:</t>
  </si>
  <si>
    <t>J/(kg K)</t>
  </si>
  <si>
    <t>Tiempo de enfriamiento:</t>
  </si>
  <si>
    <t>s</t>
  </si>
  <si>
    <t>Temperatura inicial:</t>
  </si>
  <si>
    <t>Temperatura final:</t>
  </si>
  <si>
    <t>Resolución balanza:</t>
  </si>
  <si>
    <t>Resolución vernier:</t>
  </si>
  <si>
    <t>Resolución temporal:</t>
  </si>
  <si>
    <t>Certificado balanza:</t>
  </si>
  <si>
    <t>Certificado vernier:</t>
  </si>
  <si>
    <t>-</t>
  </si>
  <si>
    <t>Desviación estándar:</t>
  </si>
  <si>
    <t>Desviación estándar</t>
  </si>
  <si>
    <t>Datos:</t>
  </si>
  <si>
    <t>D</t>
  </si>
  <si>
    <t>Datos</t>
  </si>
  <si>
    <r>
      <t>T</t>
    </r>
    <r>
      <rPr>
        <vertAlign val="subscript"/>
        <sz val="12"/>
        <color theme="1"/>
        <rFont val="CMU Serif"/>
      </rPr>
      <t>∞</t>
    </r>
  </si>
  <si>
    <t>τ</t>
  </si>
  <si>
    <r>
      <t>T</t>
    </r>
    <r>
      <rPr>
        <vertAlign val="subscript"/>
        <sz val="12"/>
        <color theme="1"/>
        <rFont val="CMU Serif"/>
      </rPr>
      <t>0</t>
    </r>
  </si>
  <si>
    <t>T(τ)</t>
  </si>
  <si>
    <r>
      <t>W/(K m</t>
    </r>
    <r>
      <rPr>
        <vertAlign val="superscript"/>
        <sz val="12"/>
        <color theme="1"/>
        <rFont val="CMU Serif"/>
      </rPr>
      <t>2</t>
    </r>
    <r>
      <rPr>
        <sz val="12"/>
        <color theme="1"/>
        <rFont val="CMU Serif"/>
      </rPr>
      <t>)</t>
    </r>
  </si>
  <si>
    <t>Variable</t>
  </si>
  <si>
    <t>Incertidumbre</t>
  </si>
  <si>
    <t>c</t>
  </si>
  <si>
    <r>
      <t>T(</t>
    </r>
    <r>
      <rPr>
        <sz val="12"/>
        <color theme="1"/>
        <rFont val="Calibri"/>
        <family val="2"/>
      </rPr>
      <t>τ</t>
    </r>
    <r>
      <rPr>
        <sz val="12"/>
        <color theme="1"/>
        <rFont val="CMU Serif"/>
      </rPr>
      <t>)</t>
    </r>
  </si>
  <si>
    <r>
      <rPr>
        <sz val="12"/>
        <color rgb="FF000000"/>
        <rFont val="CMU Serif"/>
      </rPr>
      <t>T</t>
    </r>
    <r>
      <rPr>
        <vertAlign val="subscript"/>
        <sz val="12"/>
        <color rgb="FF000000"/>
        <rFont val="CMU Serif"/>
      </rPr>
      <t>0</t>
    </r>
  </si>
  <si>
    <t>Resolución</t>
  </si>
  <si>
    <t>Repetibilidad</t>
  </si>
  <si>
    <t>Certificado</t>
  </si>
  <si>
    <t>Estándar</t>
  </si>
  <si>
    <t>Coeficiente</t>
  </si>
  <si>
    <t>Aporte</t>
  </si>
  <si>
    <t>Combinada</t>
  </si>
  <si>
    <t>Expanidida (k=2)</t>
  </si>
  <si>
    <t>Resultado final</t>
  </si>
  <si>
    <t>Resolución multímetro:</t>
  </si>
  <si>
    <t>Certificado multímetro:</t>
  </si>
  <si>
    <t>h promedio:</t>
  </si>
  <si>
    <t>m·c/(π·D²·τ):</t>
  </si>
  <si>
    <t>Según Brown</t>
  </si>
  <si>
    <t>Carlos Manuel Navarro Mora</t>
  </si>
  <si>
    <t>k</t>
  </si>
  <si>
    <t>Desv. Est.</t>
  </si>
  <si>
    <t>Promedio</t>
  </si>
  <si>
    <r>
      <t>s</t>
    </r>
    <r>
      <rPr>
        <vertAlign val="superscript"/>
        <sz val="12"/>
        <color theme="1"/>
        <rFont val="CMU Serif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</si>
</sst>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"/>
    <numFmt numFmtId="167" formatCode="0.00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MU Serif"/>
    </font>
    <font>
      <sz val="12"/>
      <color theme="1"/>
      <name val="CMU Serif"/>
    </font>
    <font>
      <vertAlign val="subscript"/>
      <sz val="12"/>
      <color theme="1"/>
      <name val="CMU Serif"/>
    </font>
    <font>
      <sz val="12"/>
      <color theme="1"/>
      <name val="Calibri"/>
      <family val="2"/>
    </font>
    <font>
      <vertAlign val="superscript"/>
      <sz val="12"/>
      <color theme="1"/>
      <name val="CMU Serif"/>
    </font>
    <font>
      <sz val="8"/>
      <name val="Calibri"/>
      <family val="2"/>
      <scheme val="minor"/>
    </font>
    <font>
      <sz val="12"/>
      <color rgb="FF000000"/>
      <name val="CMU Serif"/>
    </font>
    <font>
      <vertAlign val="subscript"/>
      <sz val="12"/>
      <color rgb="FF000000"/>
      <name val="CMU Serif"/>
    </font>
  </fonts>
  <fills count="7">
    <fill>
      <patternFill patternType="none"/>
    </fill>
    <fill>
      <patternFill patternType="gray125"/>
    </fill>
    <fill>
      <patternFill patternType="solid">
        <fgColor rgb="FF222B35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6" borderId="0" xfId="0" applyFont="1" applyFill="1"/>
    <xf numFmtId="0" fontId="3" fillId="5" borderId="0" xfId="0" applyFont="1" applyFill="1" applyAlignment="1">
      <alignment horizontal="center"/>
    </xf>
    <xf numFmtId="0" fontId="2" fillId="3" borderId="0" xfId="0" applyFont="1" applyFill="1"/>
    <xf numFmtId="0" fontId="3" fillId="5" borderId="0" xfId="0" applyFont="1" applyFill="1"/>
    <xf numFmtId="0" fontId="3" fillId="0" borderId="0" xfId="0" applyFont="1"/>
    <xf numFmtId="0" fontId="3" fillId="4" borderId="0" xfId="0" applyFont="1" applyFill="1"/>
    <xf numFmtId="0" fontId="2" fillId="2" borderId="0" xfId="0" applyFont="1" applyFill="1"/>
    <xf numFmtId="0" fontId="3" fillId="4" borderId="0" xfId="0" applyFont="1" applyFill="1" applyAlignment="1">
      <alignment horizontal="center"/>
    </xf>
    <xf numFmtId="0" fontId="3" fillId="2" borderId="0" xfId="0" applyFont="1" applyFill="1"/>
    <xf numFmtId="0" fontId="5" fillId="4" borderId="0" xfId="0" applyFont="1" applyFill="1" applyAlignment="1">
      <alignment horizontal="center"/>
    </xf>
    <xf numFmtId="0" fontId="2" fillId="0" borderId="0" xfId="0" applyFont="1"/>
    <xf numFmtId="164" fontId="3" fillId="5" borderId="0" xfId="0" applyNumberFormat="1" applyFont="1" applyFill="1"/>
    <xf numFmtId="165" fontId="3" fillId="5" borderId="0" xfId="0" applyNumberFormat="1" applyFont="1" applyFill="1"/>
    <xf numFmtId="9" fontId="2" fillId="0" borderId="0" xfId="1" applyFont="1"/>
    <xf numFmtId="9" fontId="3" fillId="0" borderId="0" xfId="0" applyNumberFormat="1" applyFont="1"/>
    <xf numFmtId="0" fontId="8" fillId="4" borderId="0" xfId="0" applyFont="1" applyFill="1" applyAlignment="1">
      <alignment horizontal="center"/>
    </xf>
    <xf numFmtId="166" fontId="3" fillId="5" borderId="0" xfId="0" applyNumberFormat="1" applyFont="1" applyFill="1" applyAlignment="1">
      <alignment horizontal="right"/>
    </xf>
    <xf numFmtId="167" fontId="3" fillId="5" borderId="0" xfId="0" applyNumberFormat="1" applyFont="1" applyFill="1"/>
    <xf numFmtId="0" fontId="3" fillId="5" borderId="0" xfId="0" applyFont="1" applyFill="1" applyAlignment="1">
      <alignment horizontal="right"/>
    </xf>
    <xf numFmtId="0" fontId="3" fillId="5" borderId="0" xfId="0" quotePrefix="1" applyFont="1" applyFill="1" applyAlignment="1">
      <alignment horizontal="center"/>
    </xf>
    <xf numFmtId="0" fontId="3" fillId="5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222B35"/>
      <color rgb="FFD6DCE4"/>
      <color rgb="FF203764"/>
      <color rgb="FF8EA9DB"/>
      <color rgb="FF0031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" panose="02000603000000000000" pitchFamily="2" charset="0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Distribución de incertidumbres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MU Serif" panose="02000603000000000000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Incertidumbres!$G$4:$M$4</c:f>
              <c:strCache>
                <c:ptCount val="7"/>
                <c:pt idx="0">
                  <c:v>m</c:v>
                </c:pt>
                <c:pt idx="1">
                  <c:v>c</c:v>
                </c:pt>
                <c:pt idx="2">
                  <c:v>D</c:v>
                </c:pt>
                <c:pt idx="3">
                  <c:v>τ</c:v>
                </c:pt>
                <c:pt idx="4">
                  <c:v>T(τ)</c:v>
                </c:pt>
                <c:pt idx="5">
                  <c:v>T0</c:v>
                </c:pt>
                <c:pt idx="6">
                  <c:v>T∞</c:v>
                </c:pt>
              </c:strCache>
            </c:strRef>
          </c:cat>
          <c:val>
            <c:numRef>
              <c:f>Incertidumbres!$G$14:$M$14</c:f>
              <c:numCache>
                <c:formatCode>0%</c:formatCode>
                <c:ptCount val="7"/>
                <c:pt idx="0">
                  <c:v>1.4118514414121622E-5</c:v>
                </c:pt>
                <c:pt idx="1">
                  <c:v>0</c:v>
                </c:pt>
                <c:pt idx="2">
                  <c:v>2.1404452586343209E-3</c:v>
                </c:pt>
                <c:pt idx="3">
                  <c:v>2.1216161496721196E-7</c:v>
                </c:pt>
                <c:pt idx="4">
                  <c:v>0.58827358046894163</c:v>
                </c:pt>
                <c:pt idx="5">
                  <c:v>0.3079594191958831</c:v>
                </c:pt>
                <c:pt idx="6">
                  <c:v>0.10161222440051211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5-47D0-B680-8BA950E29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480175"/>
        <c:axId val="2076482255"/>
      </c:barChart>
      <c:catAx>
        <c:axId val="20764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MU Serif" panose="02000603000000000000" pitchFamily="2" charset="0"/>
                <a:ea typeface="+mn-ea"/>
                <a:cs typeface="+mn-cs"/>
              </a:defRPr>
            </a:pPr>
            <a:endParaRPr lang="en-US"/>
          </a:p>
        </c:txPr>
        <c:crossAx val="2076482255"/>
        <c:crosses val="autoZero"/>
        <c:auto val="1"/>
        <c:lblAlgn val="ctr"/>
        <c:lblOffset val="100"/>
        <c:noMultiLvlLbl val="0"/>
      </c:catAx>
      <c:valAx>
        <c:axId val="20764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" panose="02000603000000000000" pitchFamily="2" charset="0"/>
                <a:ea typeface="+mn-ea"/>
                <a:cs typeface="+mn-cs"/>
              </a:defRPr>
            </a:pPr>
            <a:endParaRPr lang="en-US"/>
          </a:p>
        </c:txPr>
        <c:crossAx val="207648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CMU Serif" panose="02000603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017161316373911E-2"/>
                  <c:y val="-0.193017635666056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Incertidumbres!#REF!</c:f>
            </c:numRef>
          </c:xVal>
          <c:yVal>
            <c:numRef>
              <c:f>Incertidumbres!#REF!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Incertidumbres!#REF!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5CA-43B6-B20C-6CFFB7702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83240"/>
        <c:axId val="21985288"/>
      </c:scatterChart>
      <c:valAx>
        <c:axId val="21983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85288"/>
        <c:crosses val="autoZero"/>
        <c:crossBetween val="midCat"/>
      </c:valAx>
      <c:valAx>
        <c:axId val="2198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83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752475</xdr:colOff>
      <xdr:row>19</xdr:row>
      <xdr:rowOff>214312</xdr:rowOff>
    </xdr:from>
    <xdr:to>
      <xdr:col>13</xdr:col>
      <xdr:colOff>0</xdr:colOff>
      <xdr:row>39</xdr:row>
      <xdr:rowOff>209550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CE2115-0EE0-4B77-9265-18461A77B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666750</xdr:colOff>
      <xdr:row>57</xdr:row>
      <xdr:rowOff>104775</xdr:rowOff>
    </xdr:from>
    <xdr:to>
      <xdr:col>12</xdr:col>
      <xdr:colOff>762000</xdr:colOff>
      <xdr:row>78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B29EFF-8BC0-E68C-77CE-A859B65AF2A4}"/>
            </a:ext>
            <a:ext uri="{147F2762-F138-4A5C-976F-8EAC2B608ADB}">
              <a16:predDERef xmlns:a16="http://schemas.microsoft.com/office/drawing/2014/main" pred="{4DCE2115-0EE0-4B77-9265-18461A77B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A70192-13B6-41BF-82C4-A60A0881B6D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8527d0d-4fd1-4d67-8bc4-3105a1bdd86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3C6A-2F64-429E-B4E3-24FD0986F252}">
  <dimension ref="B2:F10"/>
  <sheetViews>
    <sheetView zoomScale="112" zoomScaleNormal="290" workbookViewId="0">
      <selection activeCell="B9" sqref="B9:F9"/>
    </sheetView>
  </sheetViews>
  <sheetFormatPr baseColWidth="10" defaultColWidth="11.42578125" defaultRowHeight="17.25" x14ac:dyDescent="0.35"/>
  <cols>
    <col min="1" max="16384" width="11.42578125" style="1"/>
  </cols>
  <sheetData>
    <row r="2" spans="2:6" x14ac:dyDescent="0.35">
      <c r="B2" s="24" t="s">
        <v>0</v>
      </c>
      <c r="C2" s="24"/>
      <c r="D2" s="24"/>
      <c r="E2" s="24"/>
      <c r="F2" s="24"/>
    </row>
    <row r="4" spans="2:6" x14ac:dyDescent="0.35">
      <c r="B4" s="25" t="s">
        <v>1</v>
      </c>
      <c r="C4" s="25"/>
      <c r="D4" s="25"/>
      <c r="E4" s="25"/>
      <c r="F4" s="25"/>
    </row>
    <row r="6" spans="2:6" x14ac:dyDescent="0.35">
      <c r="B6" s="23" t="s">
        <v>2</v>
      </c>
      <c r="C6" s="23"/>
      <c r="D6" s="23"/>
      <c r="E6" s="23"/>
      <c r="F6" s="23"/>
    </row>
    <row r="7" spans="2:6" x14ac:dyDescent="0.35">
      <c r="B7" s="23" t="s">
        <v>3</v>
      </c>
      <c r="C7" s="23"/>
      <c r="D7" s="23"/>
      <c r="E7" s="23"/>
      <c r="F7" s="23"/>
    </row>
    <row r="8" spans="2:6" x14ac:dyDescent="0.35">
      <c r="B8" s="23" t="s">
        <v>55</v>
      </c>
      <c r="C8" s="23"/>
      <c r="D8" s="23"/>
      <c r="E8" s="23"/>
      <c r="F8" s="23"/>
    </row>
    <row r="9" spans="2:6" x14ac:dyDescent="0.35">
      <c r="B9" s="23" t="s">
        <v>4</v>
      </c>
      <c r="C9" s="23"/>
      <c r="D9" s="23"/>
      <c r="E9" s="23"/>
      <c r="F9" s="23"/>
    </row>
    <row r="10" spans="2:6" x14ac:dyDescent="0.35">
      <c r="B10" s="23" t="s">
        <v>5</v>
      </c>
      <c r="C10" s="23"/>
      <c r="D10" s="23"/>
      <c r="E10" s="23"/>
      <c r="F10" s="23"/>
    </row>
  </sheetData>
  <mergeCells count="7">
    <mergeCell ref="B9:F9"/>
    <mergeCell ref="B10:F10"/>
    <mergeCell ref="B2:F2"/>
    <mergeCell ref="B4:F4"/>
    <mergeCell ref="B6:F6"/>
    <mergeCell ref="B7:F7"/>
    <mergeCell ref="B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B634-DD88-4294-A758-71025519DB78}">
  <dimension ref="B2:AJ171"/>
  <sheetViews>
    <sheetView tabSelected="1" topLeftCell="M1" workbookViewId="0">
      <selection activeCell="O15" sqref="O15"/>
    </sheetView>
  </sheetViews>
  <sheetFormatPr baseColWidth="10" defaultColWidth="11.42578125" defaultRowHeight="17.25" x14ac:dyDescent="0.35"/>
  <cols>
    <col min="1" max="1" width="11.42578125" style="5"/>
    <col min="2" max="2" width="25.42578125" style="5" bestFit="1" customWidth="1"/>
    <col min="3" max="3" width="14.28515625" style="5" bestFit="1" customWidth="1"/>
    <col min="4" max="4" width="10.140625" style="5" bestFit="1" customWidth="1"/>
    <col min="5" max="5" width="5.7109375" style="5" customWidth="1"/>
    <col min="6" max="6" width="20.7109375" style="5" bestFit="1" customWidth="1"/>
    <col min="7" max="7" width="11.42578125" style="5" customWidth="1"/>
    <col min="8" max="8" width="2.85546875" style="5" bestFit="1" customWidth="1"/>
    <col min="9" max="9" width="5.7109375" style="5" customWidth="1"/>
    <col min="10" max="10" width="24.5703125" style="5" bestFit="1" customWidth="1"/>
    <col min="11" max="11" width="11.42578125" style="5"/>
    <col min="12" max="12" width="3.28515625" style="5" bestFit="1" customWidth="1"/>
    <col min="13" max="13" width="3.28515625" style="5" customWidth="1"/>
    <col min="14" max="14" width="21.85546875" style="5" bestFit="1" customWidth="1"/>
    <col min="15" max="15" width="11.42578125" style="5"/>
    <col min="16" max="16" width="9.7109375" style="5" bestFit="1" customWidth="1"/>
    <col min="17" max="17" width="2.85546875" style="5" customWidth="1"/>
    <col min="18" max="18" width="0.7109375" style="9" customWidth="1"/>
    <col min="19" max="19" width="2.85546875" style="5" customWidth="1"/>
    <col min="20" max="20" width="24.5703125" style="5" bestFit="1" customWidth="1"/>
    <col min="21" max="21" width="11.42578125" style="5"/>
    <col min="22" max="22" width="1.85546875" style="5" bestFit="1" customWidth="1"/>
    <col min="23" max="23" width="11.42578125" style="5"/>
    <col min="24" max="24" width="24.5703125" style="5" bestFit="1" customWidth="1"/>
    <col min="25" max="25" width="11.42578125" style="5"/>
    <col min="26" max="26" width="3.42578125" style="5" bestFit="1" customWidth="1"/>
    <col min="27" max="27" width="11.42578125" style="5"/>
    <col min="28" max="28" width="24" style="5" bestFit="1" customWidth="1"/>
    <col min="29" max="29" width="11.42578125" style="5"/>
    <col min="30" max="30" width="3.42578125" style="5" bestFit="1" customWidth="1"/>
    <col min="31" max="31" width="2.85546875" style="5" customWidth="1"/>
    <col min="32" max="32" width="0.85546875" style="9" customWidth="1"/>
    <col min="33" max="33" width="2.85546875" style="5" customWidth="1"/>
    <col min="34" max="34" width="10.85546875" style="5" bestFit="1" customWidth="1"/>
    <col min="35" max="35" width="13.5703125" style="5" bestFit="1" customWidth="1"/>
    <col min="36" max="36" width="3.28515625" style="5" bestFit="1" customWidth="1"/>
    <col min="37" max="16384" width="11.42578125" style="5"/>
  </cols>
  <sheetData>
    <row r="2" spans="2:36" x14ac:dyDescent="0.35">
      <c r="B2" s="4" t="s">
        <v>6</v>
      </c>
      <c r="T2" s="4" t="s">
        <v>7</v>
      </c>
    </row>
    <row r="4" spans="2:36" x14ac:dyDescent="0.35">
      <c r="B4" s="7" t="s">
        <v>8</v>
      </c>
      <c r="C4" s="18">
        <f>AVERAGE(C11:C16)</f>
        <v>6.8810300000000007E-3</v>
      </c>
      <c r="D4" s="4" t="s">
        <v>9</v>
      </c>
      <c r="F4" s="7" t="s">
        <v>10</v>
      </c>
      <c r="G4" s="4">
        <f>AVERAGE(G11:G1048576)</f>
        <v>1.1866666666666666E-2</v>
      </c>
      <c r="H4" s="4" t="s">
        <v>11</v>
      </c>
      <c r="J4" s="7" t="s">
        <v>12</v>
      </c>
      <c r="K4" s="4">
        <f>AVERAGE(K11:K1048576)</f>
        <v>28.6</v>
      </c>
      <c r="L4" s="4" t="s">
        <v>13</v>
      </c>
      <c r="N4" s="7" t="s">
        <v>14</v>
      </c>
      <c r="O4" s="4">
        <f>0.45*1000</f>
        <v>450</v>
      </c>
      <c r="P4" s="4" t="s">
        <v>15</v>
      </c>
      <c r="T4" s="7" t="s">
        <v>16</v>
      </c>
      <c r="U4" s="2">
        <f>AVERAGE(U11:U1048576)</f>
        <v>270</v>
      </c>
      <c r="V4" s="4" t="s">
        <v>17</v>
      </c>
      <c r="X4" s="7" t="s">
        <v>18</v>
      </c>
      <c r="Y4" s="2">
        <f>AVERAGE(Y11:Y1048576)</f>
        <v>84.9</v>
      </c>
      <c r="Z4" s="4" t="s">
        <v>13</v>
      </c>
      <c r="AB4" s="7" t="s">
        <v>19</v>
      </c>
      <c r="AC4" s="2">
        <f>AVERAGE(AC11:AC1048576)</f>
        <v>42.49</v>
      </c>
      <c r="AD4" s="4" t="s">
        <v>13</v>
      </c>
    </row>
    <row r="5" spans="2:36" x14ac:dyDescent="0.35">
      <c r="O5" s="26" t="s">
        <v>54</v>
      </c>
      <c r="P5" s="26"/>
    </row>
    <row r="6" spans="2:36" x14ac:dyDescent="0.35">
      <c r="B6" s="6" t="s">
        <v>20</v>
      </c>
      <c r="C6" s="4">
        <f>0.00001*10^-3</f>
        <v>1E-8</v>
      </c>
      <c r="D6" s="4" t="s">
        <v>9</v>
      </c>
      <c r="F6" s="6" t="s">
        <v>21</v>
      </c>
      <c r="G6" s="4">
        <f>0.01*10^-3</f>
        <v>1.0000000000000001E-5</v>
      </c>
      <c r="H6" s="4" t="s">
        <v>11</v>
      </c>
      <c r="J6" s="6" t="s">
        <v>50</v>
      </c>
      <c r="K6" s="4">
        <v>0.1</v>
      </c>
      <c r="L6" s="4" t="s">
        <v>13</v>
      </c>
      <c r="T6" s="6" t="s">
        <v>22</v>
      </c>
      <c r="U6" s="4">
        <f>1/60</f>
        <v>1.6666666666666666E-2</v>
      </c>
      <c r="V6" s="4" t="s">
        <v>17</v>
      </c>
      <c r="X6" s="6" t="s">
        <v>50</v>
      </c>
      <c r="Y6" s="4">
        <v>0.1</v>
      </c>
      <c r="Z6" s="4" t="s">
        <v>13</v>
      </c>
      <c r="AB6" s="6" t="s">
        <v>50</v>
      </c>
      <c r="AC6" s="4">
        <v>0.1</v>
      </c>
      <c r="AD6" s="4" t="s">
        <v>13</v>
      </c>
    </row>
    <row r="7" spans="2:36" x14ac:dyDescent="0.35">
      <c r="B7" s="6" t="s">
        <v>23</v>
      </c>
      <c r="C7" s="4">
        <f>0.002*10^-3</f>
        <v>1.9999999999999999E-6</v>
      </c>
      <c r="D7" s="4" t="s">
        <v>9</v>
      </c>
      <c r="F7" s="6" t="s">
        <v>24</v>
      </c>
      <c r="G7" s="4">
        <f>0.02*10^-3</f>
        <v>2.0000000000000002E-5</v>
      </c>
      <c r="H7" s="4" t="s">
        <v>11</v>
      </c>
      <c r="J7" s="6" t="s">
        <v>51</v>
      </c>
      <c r="K7" s="19">
        <v>0.6</v>
      </c>
      <c r="L7" s="4" t="s">
        <v>13</v>
      </c>
      <c r="T7" s="6" t="s">
        <v>26</v>
      </c>
      <c r="U7" s="4">
        <f>_xlfn.STDEV.S(U11:U1048576)</f>
        <v>0</v>
      </c>
      <c r="V7" s="4" t="s">
        <v>17</v>
      </c>
      <c r="X7" s="6" t="s">
        <v>51</v>
      </c>
      <c r="Y7" s="19">
        <v>0.6</v>
      </c>
      <c r="Z7" s="4" t="s">
        <v>13</v>
      </c>
      <c r="AB7" s="6" t="s">
        <v>51</v>
      </c>
      <c r="AC7" s="19">
        <v>0.6</v>
      </c>
      <c r="AD7" s="4" t="s">
        <v>13</v>
      </c>
    </row>
    <row r="8" spans="2:36" x14ac:dyDescent="0.35">
      <c r="B8" s="6" t="s">
        <v>26</v>
      </c>
      <c r="C8" s="4">
        <f>_xlfn.STDEV.S(C11:C1048576)</f>
        <v>5.4405882035033177E-8</v>
      </c>
      <c r="D8" s="4" t="s">
        <v>9</v>
      </c>
      <c r="F8" s="6" t="s">
        <v>27</v>
      </c>
      <c r="G8" s="4">
        <f>_xlfn.STDEV.S(G11:G1048576)</f>
        <v>5.1639777949430125E-6</v>
      </c>
      <c r="H8" s="4" t="s">
        <v>11</v>
      </c>
      <c r="J8" s="6" t="s">
        <v>26</v>
      </c>
      <c r="K8" s="4">
        <f>_xlfn.STDEV.S(K11:K1048576)</f>
        <v>0.32317865716108796</v>
      </c>
      <c r="L8" s="4" t="s">
        <v>13</v>
      </c>
      <c r="X8" s="6" t="s">
        <v>26</v>
      </c>
      <c r="Y8" s="19">
        <f>_xlfn.STDEV.S(Y11:Y20)</f>
        <v>5.2637122515071697</v>
      </c>
      <c r="Z8" s="4" t="s">
        <v>13</v>
      </c>
      <c r="AB8" s="6" t="s">
        <v>26</v>
      </c>
      <c r="AC8" s="19">
        <f>_xlfn.STDEV.S(AC11:AC20)</f>
        <v>1.5552420318965714</v>
      </c>
      <c r="AD8" s="4" t="s">
        <v>13</v>
      </c>
    </row>
    <row r="10" spans="2:36" ht="18.75" x14ac:dyDescent="0.4">
      <c r="B10" s="3" t="s">
        <v>28</v>
      </c>
      <c r="C10" s="27" t="s">
        <v>11</v>
      </c>
      <c r="D10" s="27"/>
      <c r="F10" s="3" t="s">
        <v>28</v>
      </c>
      <c r="G10" s="27" t="s">
        <v>29</v>
      </c>
      <c r="H10" s="27"/>
      <c r="J10" s="3" t="s">
        <v>30</v>
      </c>
      <c r="K10" s="27" t="s">
        <v>31</v>
      </c>
      <c r="L10" s="27"/>
      <c r="T10" s="3" t="s">
        <v>28</v>
      </c>
      <c r="U10" s="27" t="s">
        <v>32</v>
      </c>
      <c r="V10" s="27"/>
      <c r="X10" s="3" t="s">
        <v>30</v>
      </c>
      <c r="Y10" s="8" t="s">
        <v>33</v>
      </c>
      <c r="Z10" s="8"/>
      <c r="AB10" s="3" t="s">
        <v>30</v>
      </c>
      <c r="AC10" s="27" t="s">
        <v>34</v>
      </c>
      <c r="AD10" s="27"/>
      <c r="AI10" s="27" t="s">
        <v>56</v>
      </c>
      <c r="AJ10" s="27"/>
    </row>
    <row r="11" spans="2:36" ht="19.5" x14ac:dyDescent="0.35">
      <c r="C11" s="18">
        <v>6.881E-3</v>
      </c>
      <c r="D11" s="4" t="str">
        <f>IF(C11,"kg","")</f>
        <v>kg</v>
      </c>
      <c r="G11" s="4">
        <v>1.187E-2</v>
      </c>
      <c r="H11" s="4" t="str">
        <f>IF(G11,"m","")</f>
        <v>m</v>
      </c>
      <c r="K11" s="4">
        <v>28.1</v>
      </c>
      <c r="L11" s="4" t="str">
        <f>IF(K11,"°C","")</f>
        <v>°C</v>
      </c>
      <c r="U11" s="4">
        <f>4*60+30</f>
        <v>270</v>
      </c>
      <c r="V11" s="4" t="str">
        <f>IF(U11,"s","")</f>
        <v>s</v>
      </c>
      <c r="Y11" s="4">
        <v>83.7</v>
      </c>
      <c r="Z11" s="4" t="str">
        <f>IF(Y11,"°C","")</f>
        <v>°C</v>
      </c>
      <c r="AC11" s="4">
        <v>42.5</v>
      </c>
      <c r="AD11" s="4" t="str">
        <f>IF(AC11,"°C","")</f>
        <v>°C</v>
      </c>
      <c r="AI11" s="4">
        <f>-1/U11*LN((AC11-$K$4)/(Y11-$K$4))</f>
        <v>5.100966207489714E-3</v>
      </c>
      <c r="AJ11" s="4" t="s">
        <v>59</v>
      </c>
    </row>
    <row r="12" spans="2:36" ht="19.5" x14ac:dyDescent="0.35">
      <c r="C12" s="18">
        <v>6.8809800000000001E-3</v>
      </c>
      <c r="D12" s="4" t="str">
        <f t="shared" ref="D12:D73" si="0">IF(C12,"kg","")</f>
        <v>kg</v>
      </c>
      <c r="G12" s="4">
        <v>1.187E-2</v>
      </c>
      <c r="H12" s="4" t="str">
        <f t="shared" ref="H12:H56" si="1">IF(G12,"m","")</f>
        <v>m</v>
      </c>
      <c r="K12" s="4">
        <v>28.5</v>
      </c>
      <c r="L12" s="4" t="str">
        <f t="shared" ref="L12:L75" si="2">IF(K12,"°C","")</f>
        <v>°C</v>
      </c>
      <c r="U12" s="4">
        <f>4*60+30</f>
        <v>270</v>
      </c>
      <c r="V12" s="4" t="str">
        <f t="shared" ref="V12:V75" si="3">IF(U12,"s","")</f>
        <v>s</v>
      </c>
      <c r="Y12" s="4">
        <v>79.8</v>
      </c>
      <c r="Z12" s="4" t="str">
        <f t="shared" ref="Z12" si="4">IF(Y12,"°C","")</f>
        <v>°C</v>
      </c>
      <c r="AC12" s="4">
        <v>41.8</v>
      </c>
      <c r="AD12" s="4" t="str">
        <f t="shared" ref="AD12:AD20" si="5">IF(AC12,"°C","")</f>
        <v>°C</v>
      </c>
      <c r="AI12" s="4">
        <f>-1/U12*LN((AC12-$K$4)/(Y12-$K$4))</f>
        <v>5.0204544535301376E-3</v>
      </c>
      <c r="AJ12" s="4" t="s">
        <v>59</v>
      </c>
    </row>
    <row r="13" spans="2:36" ht="19.5" x14ac:dyDescent="0.35">
      <c r="C13" s="18">
        <v>6.8809800000000001E-3</v>
      </c>
      <c r="D13" s="4" t="str">
        <f t="shared" si="0"/>
        <v>kg</v>
      </c>
      <c r="G13" s="4">
        <v>1.1860000000000001E-2</v>
      </c>
      <c r="H13" s="4" t="str">
        <f t="shared" si="1"/>
        <v>m</v>
      </c>
      <c r="K13" s="4">
        <v>28.7</v>
      </c>
      <c r="L13" s="4" t="str">
        <f t="shared" si="2"/>
        <v>°C</v>
      </c>
      <c r="U13" s="4">
        <f t="shared" ref="U13:U19" si="6">4*60+30</f>
        <v>270</v>
      </c>
      <c r="V13" s="4" t="str">
        <f>IF(U13,"s","")</f>
        <v>s</v>
      </c>
      <c r="Y13" s="4">
        <v>79.900000000000006</v>
      </c>
      <c r="Z13" s="4" t="str">
        <f>IF(Y13,"°C","")</f>
        <v>°C</v>
      </c>
      <c r="AC13" s="4">
        <v>42.6</v>
      </c>
      <c r="AD13" s="4" t="str">
        <f t="shared" si="5"/>
        <v>°C</v>
      </c>
      <c r="AI13" s="4">
        <f>-1/U13*LN((AC13-$K$4)/(Y13-$K$4))</f>
        <v>4.8097534168943159E-3</v>
      </c>
      <c r="AJ13" s="4" t="s">
        <v>59</v>
      </c>
    </row>
    <row r="14" spans="2:36" ht="19.5" x14ac:dyDescent="0.35">
      <c r="C14" s="18">
        <v>6.8811100000000002E-3</v>
      </c>
      <c r="D14" s="4" t="str">
        <f t="shared" si="0"/>
        <v>kg</v>
      </c>
      <c r="G14" s="4">
        <v>1.187E-2</v>
      </c>
      <c r="H14" s="4" t="str">
        <f t="shared" si="1"/>
        <v>m</v>
      </c>
      <c r="K14" s="4">
        <v>28.9</v>
      </c>
      <c r="L14" s="4" t="str">
        <f t="shared" si="2"/>
        <v>°C</v>
      </c>
      <c r="U14" s="4">
        <f t="shared" si="6"/>
        <v>270</v>
      </c>
      <c r="V14" s="4" t="str">
        <f>IF(U14,"s","")</f>
        <v>s</v>
      </c>
      <c r="Y14" s="4">
        <v>76.599999999999994</v>
      </c>
      <c r="Z14" s="4" t="str">
        <f>IF(Y14,"°C","")</f>
        <v>°C</v>
      </c>
      <c r="AC14" s="4">
        <v>40.200000000000003</v>
      </c>
      <c r="AD14" s="4" t="str">
        <f t="shared" si="5"/>
        <v>°C</v>
      </c>
      <c r="AI14" s="4">
        <f>-1/U14*LN((AC14-$K$4)/(Y14-$K$4))</f>
        <v>5.2599848622058212E-3</v>
      </c>
      <c r="AJ14" s="4" t="s">
        <v>59</v>
      </c>
    </row>
    <row r="15" spans="2:36" ht="19.5" x14ac:dyDescent="0.35">
      <c r="C15" s="18">
        <v>6.8810800000000004E-3</v>
      </c>
      <c r="D15" s="4" t="str">
        <f t="shared" si="0"/>
        <v>kg</v>
      </c>
      <c r="G15" s="4">
        <v>1.187E-2</v>
      </c>
      <c r="H15" s="4" t="str">
        <f t="shared" si="1"/>
        <v>m</v>
      </c>
      <c r="K15" s="4">
        <v>28.6</v>
      </c>
      <c r="L15" s="4" t="str">
        <f>IF(K15,"°C","")</f>
        <v>°C</v>
      </c>
      <c r="U15" s="4">
        <f t="shared" si="6"/>
        <v>270</v>
      </c>
      <c r="V15" s="4" t="str">
        <f>IF(U15,"s","")</f>
        <v>s</v>
      </c>
      <c r="Y15" s="4">
        <v>81.5</v>
      </c>
      <c r="Z15" s="4" t="str">
        <f>IF(Y15,"°C","")</f>
        <v>°C</v>
      </c>
      <c r="AC15" s="4">
        <v>41.2</v>
      </c>
      <c r="AD15" s="4" t="str">
        <f t="shared" si="5"/>
        <v>°C</v>
      </c>
      <c r="AI15" s="4">
        <f>-1/U15*LN((AC15-$K$4)/(Y15-$K$4))</f>
        <v>5.3137278700252644E-3</v>
      </c>
      <c r="AJ15" s="4" t="s">
        <v>59</v>
      </c>
    </row>
    <row r="16" spans="2:36" ht="19.5" x14ac:dyDescent="0.35">
      <c r="C16" s="18">
        <v>6.8810299999999998E-3</v>
      </c>
      <c r="D16" s="4" t="str">
        <f t="shared" si="0"/>
        <v>kg</v>
      </c>
      <c r="G16" s="4">
        <v>1.1860000000000001E-2</v>
      </c>
      <c r="H16" s="4" t="str">
        <f t="shared" si="1"/>
        <v>m</v>
      </c>
      <c r="K16" s="4">
        <v>28.8</v>
      </c>
      <c r="L16" s="4" t="str">
        <f>IF(K15,"°C","")</f>
        <v>°C</v>
      </c>
      <c r="U16" s="4">
        <f t="shared" si="6"/>
        <v>270</v>
      </c>
      <c r="V16" s="4" t="str">
        <f t="shared" ref="V16:V18" si="7">IF(U16,"s","")</f>
        <v>s</v>
      </c>
      <c r="Y16" s="4">
        <v>89.3</v>
      </c>
      <c r="Z16" s="4" t="str">
        <f t="shared" ref="Z16:Z20" si="8">IF(Y16,"°C","")</f>
        <v>°C</v>
      </c>
      <c r="AC16" s="4">
        <v>43.5</v>
      </c>
      <c r="AD16" s="4" t="str">
        <f t="shared" si="5"/>
        <v>°C</v>
      </c>
      <c r="AI16" s="4">
        <f>-1/U16*LN((AC16-$K$4)/(Y16-$K$4))</f>
        <v>5.2021573522742191E-3</v>
      </c>
      <c r="AJ16" s="4" t="s">
        <v>59</v>
      </c>
    </row>
    <row r="17" spans="4:36" ht="19.5" x14ac:dyDescent="0.35">
      <c r="D17" s="5" t="str">
        <f t="shared" si="0"/>
        <v/>
      </c>
      <c r="H17" s="5" t="str">
        <f t="shared" si="1"/>
        <v/>
      </c>
      <c r="K17" s="4">
        <v>29.2</v>
      </c>
      <c r="L17" s="4" t="str">
        <f>IF(K15,"°C","")</f>
        <v>°C</v>
      </c>
      <c r="U17" s="4">
        <f t="shared" si="6"/>
        <v>270</v>
      </c>
      <c r="V17" s="4" t="str">
        <f t="shared" si="7"/>
        <v>s</v>
      </c>
      <c r="Y17" s="4">
        <v>91.2</v>
      </c>
      <c r="Z17" s="4" t="str">
        <f t="shared" si="8"/>
        <v>°C</v>
      </c>
      <c r="AC17" s="4">
        <v>41.7</v>
      </c>
      <c r="AD17" s="4" t="str">
        <f t="shared" si="5"/>
        <v>°C</v>
      </c>
      <c r="AI17" s="4">
        <f>-1/U17*LN((AC17-$K$4)/(Y17-$K$4))</f>
        <v>5.7931594366627667E-3</v>
      </c>
      <c r="AJ17" s="4" t="s">
        <v>59</v>
      </c>
    </row>
    <row r="18" spans="4:36" ht="19.5" x14ac:dyDescent="0.35">
      <c r="D18" s="5" t="str">
        <f t="shared" si="0"/>
        <v/>
      </c>
      <c r="H18" s="5" t="str">
        <f t="shared" si="1"/>
        <v/>
      </c>
      <c r="K18" s="4">
        <v>28.6</v>
      </c>
      <c r="L18" s="4" t="str">
        <f>IF(K15,"°C","")</f>
        <v>°C</v>
      </c>
      <c r="U18" s="4">
        <f t="shared" si="6"/>
        <v>270</v>
      </c>
      <c r="V18" s="4" t="str">
        <f t="shared" si="7"/>
        <v>s</v>
      </c>
      <c r="Y18" s="4">
        <v>87.3</v>
      </c>
      <c r="Z18" s="4" t="str">
        <f t="shared" si="8"/>
        <v>°C</v>
      </c>
      <c r="AC18" s="4">
        <v>43.1</v>
      </c>
      <c r="AD18" s="4" t="str">
        <f t="shared" si="5"/>
        <v>°C</v>
      </c>
      <c r="AI18" s="4">
        <f>-1/U18*LN((AC18-$K$4)/(Y18-$K$4))</f>
        <v>5.1788558422500809E-3</v>
      </c>
      <c r="AJ18" s="4" t="s">
        <v>59</v>
      </c>
    </row>
    <row r="19" spans="4:36" ht="19.5" x14ac:dyDescent="0.35">
      <c r="D19" s="5" t="str">
        <f t="shared" si="0"/>
        <v/>
      </c>
      <c r="H19" s="5" t="str">
        <f t="shared" si="1"/>
        <v/>
      </c>
      <c r="K19" s="4">
        <v>28.3</v>
      </c>
      <c r="L19" s="4" t="str">
        <f>IF(K15,"°C","")</f>
        <v>°C</v>
      </c>
      <c r="U19" s="4">
        <f t="shared" si="6"/>
        <v>270</v>
      </c>
      <c r="V19" s="4" t="str">
        <f t="shared" ref="V19" si="9">IF(U19,"s","")</f>
        <v>s</v>
      </c>
      <c r="Y19" s="4">
        <v>88.7</v>
      </c>
      <c r="Z19" s="4" t="str">
        <f t="shared" si="8"/>
        <v>°C</v>
      </c>
      <c r="AC19" s="4">
        <v>42.3</v>
      </c>
      <c r="AD19" s="4" t="str">
        <f t="shared" si="5"/>
        <v>°C</v>
      </c>
      <c r="AI19" s="4">
        <f>-1/U19*LN((AC19-$K$4)/(Y19-$K$4))</f>
        <v>5.4763481803966037E-3</v>
      </c>
      <c r="AJ19" s="4" t="s">
        <v>59</v>
      </c>
    </row>
    <row r="20" spans="4:36" ht="19.5" x14ac:dyDescent="0.35">
      <c r="D20" s="5" t="str">
        <f t="shared" si="0"/>
        <v/>
      </c>
      <c r="H20" s="5" t="str">
        <f t="shared" si="1"/>
        <v/>
      </c>
      <c r="K20" s="4">
        <v>28.3</v>
      </c>
      <c r="L20" s="4" t="str">
        <f t="shared" si="2"/>
        <v>°C</v>
      </c>
      <c r="U20" s="4">
        <v>270</v>
      </c>
      <c r="V20" s="4" t="s">
        <v>17</v>
      </c>
      <c r="Y20" s="4">
        <v>91</v>
      </c>
      <c r="Z20" s="4" t="str">
        <f t="shared" si="8"/>
        <v>°C</v>
      </c>
      <c r="AC20" s="4">
        <v>46</v>
      </c>
      <c r="AD20" s="4" t="str">
        <f t="shared" si="5"/>
        <v>°C</v>
      </c>
      <c r="AI20" s="4">
        <f>-1/U20*LN((AC20-$K$4)/(Y20-$K$4))</f>
        <v>4.7299817376107358E-3</v>
      </c>
      <c r="AJ20" s="4" t="s">
        <v>59</v>
      </c>
    </row>
    <row r="21" spans="4:36" x14ac:dyDescent="0.35">
      <c r="D21" s="5" t="str">
        <f t="shared" si="0"/>
        <v/>
      </c>
      <c r="H21" s="5" t="str">
        <f t="shared" si="1"/>
        <v/>
      </c>
      <c r="L21" s="5" t="str">
        <f t="shared" si="2"/>
        <v/>
      </c>
      <c r="V21" s="5" t="str">
        <f t="shared" si="3"/>
        <v/>
      </c>
      <c r="AI21" s="22"/>
    </row>
    <row r="22" spans="4:36" ht="19.5" x14ac:dyDescent="0.35">
      <c r="D22" s="5" t="str">
        <f t="shared" si="0"/>
        <v/>
      </c>
      <c r="H22" s="5" t="str">
        <f t="shared" si="1"/>
        <v/>
      </c>
      <c r="L22" s="5" t="str">
        <f t="shared" si="2"/>
        <v/>
      </c>
      <c r="V22" s="5" t="str">
        <f t="shared" si="3"/>
        <v/>
      </c>
      <c r="AH22" s="3" t="s">
        <v>58</v>
      </c>
      <c r="AI22" s="4">
        <f>AVERAGE(AI11:AI20)</f>
        <v>5.1885389359339661E-3</v>
      </c>
      <c r="AJ22" s="4" t="s">
        <v>59</v>
      </c>
    </row>
    <row r="23" spans="4:36" ht="19.5" x14ac:dyDescent="0.35">
      <c r="D23" s="5" t="str">
        <f t="shared" si="0"/>
        <v/>
      </c>
      <c r="H23" s="5" t="str">
        <f t="shared" si="1"/>
        <v/>
      </c>
      <c r="L23" s="5" t="str">
        <f t="shared" si="2"/>
        <v/>
      </c>
      <c r="V23" s="5" t="str">
        <f t="shared" si="3"/>
        <v/>
      </c>
      <c r="AH23" s="3" t="s">
        <v>57</v>
      </c>
      <c r="AI23" s="4">
        <f>_xlfn.STDEV.S(AI11:AI20)</f>
        <v>3.0896434059373389E-4</v>
      </c>
      <c r="AJ23" s="4" t="s">
        <v>59</v>
      </c>
    </row>
    <row r="24" spans="4:36" x14ac:dyDescent="0.35">
      <c r="D24" s="5" t="str">
        <f t="shared" si="0"/>
        <v/>
      </c>
      <c r="H24" s="5" t="str">
        <f t="shared" si="1"/>
        <v/>
      </c>
      <c r="L24" s="5" t="str">
        <f t="shared" si="2"/>
        <v/>
      </c>
      <c r="V24" s="5" t="str">
        <f t="shared" si="3"/>
        <v/>
      </c>
    </row>
    <row r="25" spans="4:36" x14ac:dyDescent="0.35">
      <c r="D25" s="5" t="str">
        <f t="shared" si="0"/>
        <v/>
      </c>
      <c r="H25" s="5" t="str">
        <f t="shared" si="1"/>
        <v/>
      </c>
      <c r="L25" s="5" t="str">
        <f t="shared" si="2"/>
        <v/>
      </c>
      <c r="V25" s="5" t="str">
        <f t="shared" si="3"/>
        <v/>
      </c>
    </row>
    <row r="26" spans="4:36" x14ac:dyDescent="0.35">
      <c r="D26" s="5" t="str">
        <f t="shared" si="0"/>
        <v/>
      </c>
      <c r="H26" s="5" t="str">
        <f t="shared" si="1"/>
        <v/>
      </c>
      <c r="L26" s="5" t="str">
        <f t="shared" si="2"/>
        <v/>
      </c>
      <c r="V26" s="5" t="str">
        <f t="shared" si="3"/>
        <v/>
      </c>
    </row>
    <row r="27" spans="4:36" x14ac:dyDescent="0.35">
      <c r="D27" s="5" t="str">
        <f t="shared" si="0"/>
        <v/>
      </c>
      <c r="H27" s="5" t="str">
        <f t="shared" si="1"/>
        <v/>
      </c>
      <c r="L27" s="5" t="str">
        <f t="shared" si="2"/>
        <v/>
      </c>
      <c r="V27" s="5" t="str">
        <f t="shared" si="3"/>
        <v/>
      </c>
    </row>
    <row r="28" spans="4:36" x14ac:dyDescent="0.35">
      <c r="D28" s="5" t="str">
        <f t="shared" si="0"/>
        <v/>
      </c>
      <c r="H28" s="5" t="str">
        <f t="shared" si="1"/>
        <v/>
      </c>
      <c r="L28" s="5" t="str">
        <f t="shared" si="2"/>
        <v/>
      </c>
      <c r="V28" s="5" t="str">
        <f t="shared" si="3"/>
        <v/>
      </c>
    </row>
    <row r="29" spans="4:36" x14ac:dyDescent="0.35">
      <c r="D29" s="5" t="str">
        <f t="shared" si="0"/>
        <v/>
      </c>
      <c r="H29" s="5" t="str">
        <f t="shared" si="1"/>
        <v/>
      </c>
      <c r="L29" s="5" t="str">
        <f t="shared" si="2"/>
        <v/>
      </c>
      <c r="V29" s="5" t="str">
        <f t="shared" si="3"/>
        <v/>
      </c>
    </row>
    <row r="30" spans="4:36" x14ac:dyDescent="0.35">
      <c r="D30" s="5" t="str">
        <f t="shared" si="0"/>
        <v/>
      </c>
      <c r="H30" s="5" t="str">
        <f t="shared" si="1"/>
        <v/>
      </c>
      <c r="L30" s="5" t="str">
        <f t="shared" si="2"/>
        <v/>
      </c>
      <c r="V30" s="5" t="str">
        <f t="shared" si="3"/>
        <v/>
      </c>
    </row>
    <row r="31" spans="4:36" x14ac:dyDescent="0.35">
      <c r="D31" s="5" t="str">
        <f t="shared" si="0"/>
        <v/>
      </c>
      <c r="H31" s="5" t="str">
        <f t="shared" si="1"/>
        <v/>
      </c>
      <c r="L31" s="5" t="str">
        <f t="shared" si="2"/>
        <v/>
      </c>
      <c r="V31" s="5" t="str">
        <f t="shared" si="3"/>
        <v/>
      </c>
    </row>
    <row r="32" spans="4:36" x14ac:dyDescent="0.35">
      <c r="D32" s="5" t="str">
        <f t="shared" si="0"/>
        <v/>
      </c>
      <c r="H32" s="5" t="str">
        <f t="shared" si="1"/>
        <v/>
      </c>
      <c r="L32" s="5" t="str">
        <f t="shared" si="2"/>
        <v/>
      </c>
      <c r="V32" s="5" t="str">
        <f t="shared" si="3"/>
        <v/>
      </c>
    </row>
    <row r="33" spans="4:22" x14ac:dyDescent="0.35">
      <c r="D33" s="5" t="str">
        <f t="shared" si="0"/>
        <v/>
      </c>
      <c r="H33" s="5" t="str">
        <f t="shared" si="1"/>
        <v/>
      </c>
      <c r="L33" s="5" t="str">
        <f t="shared" si="2"/>
        <v/>
      </c>
      <c r="V33" s="5" t="str">
        <f t="shared" si="3"/>
        <v/>
      </c>
    </row>
    <row r="34" spans="4:22" x14ac:dyDescent="0.35">
      <c r="D34" s="5" t="str">
        <f t="shared" si="0"/>
        <v/>
      </c>
      <c r="H34" s="5" t="str">
        <f t="shared" si="1"/>
        <v/>
      </c>
      <c r="L34" s="5" t="str">
        <f t="shared" si="2"/>
        <v/>
      </c>
      <c r="V34" s="5" t="str">
        <f t="shared" si="3"/>
        <v/>
      </c>
    </row>
    <row r="35" spans="4:22" x14ac:dyDescent="0.35">
      <c r="D35" s="5" t="str">
        <f t="shared" si="0"/>
        <v/>
      </c>
      <c r="H35" s="5" t="str">
        <f t="shared" si="1"/>
        <v/>
      </c>
      <c r="L35" s="5" t="str">
        <f t="shared" si="2"/>
        <v/>
      </c>
      <c r="V35" s="5" t="str">
        <f t="shared" si="3"/>
        <v/>
      </c>
    </row>
    <row r="36" spans="4:22" x14ac:dyDescent="0.35">
      <c r="D36" s="5" t="str">
        <f t="shared" si="0"/>
        <v/>
      </c>
      <c r="H36" s="5" t="str">
        <f t="shared" si="1"/>
        <v/>
      </c>
      <c r="L36" s="5" t="str">
        <f t="shared" si="2"/>
        <v/>
      </c>
      <c r="V36" s="5" t="str">
        <f t="shared" si="3"/>
        <v/>
      </c>
    </row>
    <row r="37" spans="4:22" x14ac:dyDescent="0.35">
      <c r="D37" s="5" t="str">
        <f t="shared" si="0"/>
        <v/>
      </c>
      <c r="H37" s="5" t="str">
        <f t="shared" si="1"/>
        <v/>
      </c>
      <c r="L37" s="5" t="str">
        <f t="shared" si="2"/>
        <v/>
      </c>
      <c r="V37" s="5" t="str">
        <f t="shared" si="3"/>
        <v/>
      </c>
    </row>
    <row r="38" spans="4:22" x14ac:dyDescent="0.35">
      <c r="D38" s="5" t="str">
        <f t="shared" si="0"/>
        <v/>
      </c>
      <c r="H38" s="5" t="str">
        <f t="shared" si="1"/>
        <v/>
      </c>
      <c r="L38" s="5" t="str">
        <f t="shared" si="2"/>
        <v/>
      </c>
      <c r="V38" s="5" t="str">
        <f t="shared" si="3"/>
        <v/>
      </c>
    </row>
    <row r="39" spans="4:22" x14ac:dyDescent="0.35">
      <c r="D39" s="5" t="str">
        <f t="shared" si="0"/>
        <v/>
      </c>
      <c r="H39" s="5" t="str">
        <f t="shared" si="1"/>
        <v/>
      </c>
      <c r="L39" s="5" t="str">
        <f t="shared" si="2"/>
        <v/>
      </c>
      <c r="V39" s="5" t="str">
        <f t="shared" si="3"/>
        <v/>
      </c>
    </row>
    <row r="40" spans="4:22" x14ac:dyDescent="0.35">
      <c r="D40" s="5" t="str">
        <f t="shared" si="0"/>
        <v/>
      </c>
      <c r="H40" s="5" t="str">
        <f t="shared" si="1"/>
        <v/>
      </c>
      <c r="L40" s="5" t="str">
        <f t="shared" si="2"/>
        <v/>
      </c>
      <c r="V40" s="5" t="str">
        <f t="shared" si="3"/>
        <v/>
      </c>
    </row>
    <row r="41" spans="4:22" x14ac:dyDescent="0.35">
      <c r="D41" s="5" t="str">
        <f t="shared" si="0"/>
        <v/>
      </c>
      <c r="H41" s="5" t="str">
        <f t="shared" si="1"/>
        <v/>
      </c>
      <c r="L41" s="5" t="str">
        <f t="shared" si="2"/>
        <v/>
      </c>
      <c r="V41" s="5" t="str">
        <f t="shared" si="3"/>
        <v/>
      </c>
    </row>
    <row r="42" spans="4:22" x14ac:dyDescent="0.35">
      <c r="D42" s="5" t="str">
        <f t="shared" si="0"/>
        <v/>
      </c>
      <c r="H42" s="5" t="str">
        <f t="shared" si="1"/>
        <v/>
      </c>
      <c r="L42" s="5" t="str">
        <f t="shared" si="2"/>
        <v/>
      </c>
      <c r="V42" s="5" t="str">
        <f t="shared" si="3"/>
        <v/>
      </c>
    </row>
    <row r="43" spans="4:22" x14ac:dyDescent="0.35">
      <c r="D43" s="5" t="str">
        <f t="shared" si="0"/>
        <v/>
      </c>
      <c r="H43" s="5" t="str">
        <f t="shared" si="1"/>
        <v/>
      </c>
      <c r="L43" s="5" t="str">
        <f t="shared" si="2"/>
        <v/>
      </c>
      <c r="V43" s="5" t="str">
        <f t="shared" si="3"/>
        <v/>
      </c>
    </row>
    <row r="44" spans="4:22" x14ac:dyDescent="0.35">
      <c r="D44" s="5" t="str">
        <f t="shared" si="0"/>
        <v/>
      </c>
      <c r="H44" s="5" t="str">
        <f t="shared" si="1"/>
        <v/>
      </c>
      <c r="L44" s="5" t="str">
        <f t="shared" si="2"/>
        <v/>
      </c>
      <c r="V44" s="5" t="str">
        <f t="shared" si="3"/>
        <v/>
      </c>
    </row>
    <row r="45" spans="4:22" x14ac:dyDescent="0.35">
      <c r="D45" s="5" t="str">
        <f t="shared" si="0"/>
        <v/>
      </c>
      <c r="H45" s="5" t="str">
        <f t="shared" si="1"/>
        <v/>
      </c>
      <c r="L45" s="5" t="str">
        <f t="shared" si="2"/>
        <v/>
      </c>
      <c r="V45" s="5" t="str">
        <f t="shared" si="3"/>
        <v/>
      </c>
    </row>
    <row r="46" spans="4:22" x14ac:dyDescent="0.35">
      <c r="D46" s="5" t="str">
        <f t="shared" si="0"/>
        <v/>
      </c>
      <c r="H46" s="5" t="str">
        <f t="shared" si="1"/>
        <v/>
      </c>
      <c r="L46" s="5" t="str">
        <f t="shared" si="2"/>
        <v/>
      </c>
      <c r="V46" s="5" t="str">
        <f t="shared" si="3"/>
        <v/>
      </c>
    </row>
    <row r="47" spans="4:22" x14ac:dyDescent="0.35">
      <c r="D47" s="5" t="str">
        <f t="shared" si="0"/>
        <v/>
      </c>
      <c r="H47" s="5" t="str">
        <f t="shared" si="1"/>
        <v/>
      </c>
      <c r="L47" s="5" t="str">
        <f t="shared" si="2"/>
        <v/>
      </c>
      <c r="V47" s="5" t="str">
        <f t="shared" si="3"/>
        <v/>
      </c>
    </row>
    <row r="48" spans="4:22" x14ac:dyDescent="0.35">
      <c r="D48" s="5" t="str">
        <f t="shared" si="0"/>
        <v/>
      </c>
      <c r="H48" s="5" t="str">
        <f t="shared" si="1"/>
        <v/>
      </c>
      <c r="L48" s="5" t="str">
        <f t="shared" si="2"/>
        <v/>
      </c>
      <c r="V48" s="5" t="str">
        <f t="shared" si="3"/>
        <v/>
      </c>
    </row>
    <row r="49" spans="4:22" x14ac:dyDescent="0.35">
      <c r="D49" s="5" t="str">
        <f t="shared" si="0"/>
        <v/>
      </c>
      <c r="H49" s="5" t="str">
        <f t="shared" si="1"/>
        <v/>
      </c>
      <c r="L49" s="5" t="str">
        <f t="shared" si="2"/>
        <v/>
      </c>
      <c r="V49" s="5" t="str">
        <f t="shared" si="3"/>
        <v/>
      </c>
    </row>
    <row r="50" spans="4:22" x14ac:dyDescent="0.35">
      <c r="D50" s="5" t="str">
        <f t="shared" si="0"/>
        <v/>
      </c>
      <c r="H50" s="5" t="str">
        <f t="shared" si="1"/>
        <v/>
      </c>
      <c r="L50" s="5" t="str">
        <f t="shared" si="2"/>
        <v/>
      </c>
      <c r="V50" s="5" t="str">
        <f t="shared" si="3"/>
        <v/>
      </c>
    </row>
    <row r="51" spans="4:22" x14ac:dyDescent="0.35">
      <c r="D51" s="5" t="str">
        <f t="shared" si="0"/>
        <v/>
      </c>
      <c r="H51" s="5" t="str">
        <f t="shared" si="1"/>
        <v/>
      </c>
      <c r="L51" s="5" t="str">
        <f t="shared" si="2"/>
        <v/>
      </c>
      <c r="V51" s="5" t="str">
        <f t="shared" si="3"/>
        <v/>
      </c>
    </row>
    <row r="52" spans="4:22" x14ac:dyDescent="0.35">
      <c r="D52" s="5" t="str">
        <f t="shared" si="0"/>
        <v/>
      </c>
      <c r="H52" s="5" t="str">
        <f t="shared" si="1"/>
        <v/>
      </c>
      <c r="L52" s="5" t="str">
        <f t="shared" si="2"/>
        <v/>
      </c>
      <c r="V52" s="5" t="str">
        <f t="shared" si="3"/>
        <v/>
      </c>
    </row>
    <row r="53" spans="4:22" x14ac:dyDescent="0.35">
      <c r="D53" s="5" t="str">
        <f t="shared" si="0"/>
        <v/>
      </c>
      <c r="H53" s="5" t="str">
        <f t="shared" si="1"/>
        <v/>
      </c>
      <c r="L53" s="5" t="str">
        <f t="shared" si="2"/>
        <v/>
      </c>
      <c r="V53" s="5" t="str">
        <f t="shared" si="3"/>
        <v/>
      </c>
    </row>
    <row r="54" spans="4:22" x14ac:dyDescent="0.35">
      <c r="D54" s="5" t="str">
        <f t="shared" si="0"/>
        <v/>
      </c>
      <c r="H54" s="5" t="str">
        <f t="shared" si="1"/>
        <v/>
      </c>
      <c r="L54" s="5" t="str">
        <f t="shared" si="2"/>
        <v/>
      </c>
      <c r="V54" s="5" t="str">
        <f t="shared" si="3"/>
        <v/>
      </c>
    </row>
    <row r="55" spans="4:22" x14ac:dyDescent="0.35">
      <c r="D55" s="5" t="str">
        <f t="shared" si="0"/>
        <v/>
      </c>
      <c r="H55" s="5" t="str">
        <f t="shared" si="1"/>
        <v/>
      </c>
      <c r="L55" s="5" t="str">
        <f t="shared" si="2"/>
        <v/>
      </c>
      <c r="V55" s="5" t="str">
        <f t="shared" si="3"/>
        <v/>
      </c>
    </row>
    <row r="56" spans="4:22" x14ac:dyDescent="0.35">
      <c r="D56" s="5" t="str">
        <f t="shared" si="0"/>
        <v/>
      </c>
      <c r="H56" s="5" t="str">
        <f t="shared" si="1"/>
        <v/>
      </c>
      <c r="L56" s="5" t="str">
        <f t="shared" si="2"/>
        <v/>
      </c>
      <c r="V56" s="5" t="str">
        <f t="shared" si="3"/>
        <v/>
      </c>
    </row>
    <row r="57" spans="4:22" x14ac:dyDescent="0.35">
      <c r="D57" s="5" t="str">
        <f t="shared" si="0"/>
        <v/>
      </c>
      <c r="L57" s="5" t="str">
        <f t="shared" si="2"/>
        <v/>
      </c>
      <c r="V57" s="5" t="str">
        <f t="shared" si="3"/>
        <v/>
      </c>
    </row>
    <row r="58" spans="4:22" x14ac:dyDescent="0.35">
      <c r="D58" s="5" t="str">
        <f t="shared" si="0"/>
        <v/>
      </c>
      <c r="L58" s="5" t="str">
        <f t="shared" si="2"/>
        <v/>
      </c>
      <c r="V58" s="5" t="str">
        <f t="shared" si="3"/>
        <v/>
      </c>
    </row>
    <row r="59" spans="4:22" x14ac:dyDescent="0.35">
      <c r="D59" s="5" t="str">
        <f t="shared" si="0"/>
        <v/>
      </c>
      <c r="L59" s="5" t="str">
        <f t="shared" si="2"/>
        <v/>
      </c>
      <c r="V59" s="5" t="str">
        <f t="shared" si="3"/>
        <v/>
      </c>
    </row>
    <row r="60" spans="4:22" x14ac:dyDescent="0.35">
      <c r="D60" s="5" t="str">
        <f t="shared" si="0"/>
        <v/>
      </c>
      <c r="L60" s="5" t="str">
        <f t="shared" si="2"/>
        <v/>
      </c>
      <c r="V60" s="5" t="str">
        <f t="shared" si="3"/>
        <v/>
      </c>
    </row>
    <row r="61" spans="4:22" x14ac:dyDescent="0.35">
      <c r="D61" s="5" t="str">
        <f t="shared" si="0"/>
        <v/>
      </c>
      <c r="L61" s="5" t="str">
        <f t="shared" si="2"/>
        <v/>
      </c>
      <c r="V61" s="5" t="str">
        <f t="shared" si="3"/>
        <v/>
      </c>
    </row>
    <row r="62" spans="4:22" x14ac:dyDescent="0.35">
      <c r="D62" s="5" t="str">
        <f t="shared" si="0"/>
        <v/>
      </c>
      <c r="L62" s="5" t="str">
        <f t="shared" si="2"/>
        <v/>
      </c>
      <c r="V62" s="5" t="str">
        <f t="shared" si="3"/>
        <v/>
      </c>
    </row>
    <row r="63" spans="4:22" x14ac:dyDescent="0.35">
      <c r="D63" s="5" t="str">
        <f t="shared" si="0"/>
        <v/>
      </c>
      <c r="L63" s="5" t="str">
        <f t="shared" si="2"/>
        <v/>
      </c>
      <c r="V63" s="5" t="str">
        <f t="shared" si="3"/>
        <v/>
      </c>
    </row>
    <row r="64" spans="4:22" x14ac:dyDescent="0.35">
      <c r="D64" s="5" t="str">
        <f t="shared" si="0"/>
        <v/>
      </c>
      <c r="L64" s="5" t="str">
        <f t="shared" si="2"/>
        <v/>
      </c>
      <c r="V64" s="5" t="str">
        <f t="shared" si="3"/>
        <v/>
      </c>
    </row>
    <row r="65" spans="4:22" x14ac:dyDescent="0.35">
      <c r="D65" s="5" t="str">
        <f t="shared" si="0"/>
        <v/>
      </c>
      <c r="L65" s="5" t="str">
        <f t="shared" si="2"/>
        <v/>
      </c>
      <c r="V65" s="5" t="str">
        <f t="shared" si="3"/>
        <v/>
      </c>
    </row>
    <row r="66" spans="4:22" x14ac:dyDescent="0.35">
      <c r="D66" s="5" t="str">
        <f t="shared" si="0"/>
        <v/>
      </c>
      <c r="L66" s="5" t="str">
        <f t="shared" si="2"/>
        <v/>
      </c>
      <c r="V66" s="5" t="str">
        <f t="shared" si="3"/>
        <v/>
      </c>
    </row>
    <row r="67" spans="4:22" x14ac:dyDescent="0.35">
      <c r="D67" s="5" t="str">
        <f t="shared" si="0"/>
        <v/>
      </c>
      <c r="L67" s="5" t="str">
        <f t="shared" si="2"/>
        <v/>
      </c>
      <c r="V67" s="5" t="str">
        <f t="shared" si="3"/>
        <v/>
      </c>
    </row>
    <row r="68" spans="4:22" x14ac:dyDescent="0.35">
      <c r="D68" s="5" t="str">
        <f t="shared" si="0"/>
        <v/>
      </c>
      <c r="L68" s="5" t="str">
        <f t="shared" si="2"/>
        <v/>
      </c>
      <c r="V68" s="5" t="str">
        <f t="shared" si="3"/>
        <v/>
      </c>
    </row>
    <row r="69" spans="4:22" x14ac:dyDescent="0.35">
      <c r="D69" s="5" t="str">
        <f t="shared" si="0"/>
        <v/>
      </c>
      <c r="L69" s="5" t="str">
        <f t="shared" si="2"/>
        <v/>
      </c>
      <c r="V69" s="5" t="str">
        <f t="shared" si="3"/>
        <v/>
      </c>
    </row>
    <row r="70" spans="4:22" x14ac:dyDescent="0.35">
      <c r="D70" s="5" t="str">
        <f t="shared" si="0"/>
        <v/>
      </c>
      <c r="L70" s="5" t="str">
        <f t="shared" si="2"/>
        <v/>
      </c>
      <c r="V70" s="5" t="str">
        <f t="shared" si="3"/>
        <v/>
      </c>
    </row>
    <row r="71" spans="4:22" x14ac:dyDescent="0.35">
      <c r="D71" s="5" t="str">
        <f t="shared" si="0"/>
        <v/>
      </c>
      <c r="L71" s="5" t="str">
        <f t="shared" si="2"/>
        <v/>
      </c>
      <c r="V71" s="5" t="str">
        <f t="shared" si="3"/>
        <v/>
      </c>
    </row>
    <row r="72" spans="4:22" x14ac:dyDescent="0.35">
      <c r="D72" s="5" t="str">
        <f t="shared" si="0"/>
        <v/>
      </c>
      <c r="L72" s="5" t="str">
        <f t="shared" si="2"/>
        <v/>
      </c>
      <c r="V72" s="5" t="str">
        <f t="shared" si="3"/>
        <v/>
      </c>
    </row>
    <row r="73" spans="4:22" x14ac:dyDescent="0.35">
      <c r="D73" s="5" t="str">
        <f t="shared" si="0"/>
        <v/>
      </c>
      <c r="L73" s="5" t="str">
        <f t="shared" si="2"/>
        <v/>
      </c>
      <c r="V73" s="5" t="str">
        <f t="shared" si="3"/>
        <v/>
      </c>
    </row>
    <row r="74" spans="4:22" x14ac:dyDescent="0.35">
      <c r="L74" s="5" t="str">
        <f t="shared" si="2"/>
        <v/>
      </c>
      <c r="V74" s="5" t="str">
        <f t="shared" si="3"/>
        <v/>
      </c>
    </row>
    <row r="75" spans="4:22" x14ac:dyDescent="0.35">
      <c r="L75" s="5" t="str">
        <f t="shared" si="2"/>
        <v/>
      </c>
      <c r="V75" s="5" t="str">
        <f t="shared" si="3"/>
        <v/>
      </c>
    </row>
    <row r="76" spans="4:22" x14ac:dyDescent="0.35">
      <c r="L76" s="5" t="str">
        <f t="shared" ref="L76:L135" si="10">IF(K76,"°C","")</f>
        <v/>
      </c>
      <c r="V76" s="5" t="str">
        <f t="shared" ref="V76:V139" si="11">IF(U76,"s","")</f>
        <v/>
      </c>
    </row>
    <row r="77" spans="4:22" x14ac:dyDescent="0.35">
      <c r="L77" s="5" t="str">
        <f t="shared" si="10"/>
        <v/>
      </c>
      <c r="V77" s="5" t="str">
        <f t="shared" si="11"/>
        <v/>
      </c>
    </row>
    <row r="78" spans="4:22" x14ac:dyDescent="0.35">
      <c r="L78" s="5" t="str">
        <f t="shared" si="10"/>
        <v/>
      </c>
      <c r="V78" s="5" t="str">
        <f t="shared" si="11"/>
        <v/>
      </c>
    </row>
    <row r="79" spans="4:22" x14ac:dyDescent="0.35">
      <c r="L79" s="5" t="str">
        <f t="shared" si="10"/>
        <v/>
      </c>
      <c r="V79" s="5" t="str">
        <f t="shared" si="11"/>
        <v/>
      </c>
    </row>
    <row r="80" spans="4:22" x14ac:dyDescent="0.35">
      <c r="L80" s="5" t="str">
        <f t="shared" si="10"/>
        <v/>
      </c>
      <c r="V80" s="5" t="str">
        <f t="shared" si="11"/>
        <v/>
      </c>
    </row>
    <row r="81" spans="12:22" x14ac:dyDescent="0.35">
      <c r="L81" s="5" t="str">
        <f t="shared" si="10"/>
        <v/>
      </c>
      <c r="V81" s="5" t="str">
        <f t="shared" si="11"/>
        <v/>
      </c>
    </row>
    <row r="82" spans="12:22" x14ac:dyDescent="0.35">
      <c r="L82" s="5" t="str">
        <f t="shared" si="10"/>
        <v/>
      </c>
      <c r="V82" s="5" t="str">
        <f t="shared" si="11"/>
        <v/>
      </c>
    </row>
    <row r="83" spans="12:22" x14ac:dyDescent="0.35">
      <c r="L83" s="5" t="str">
        <f t="shared" si="10"/>
        <v/>
      </c>
      <c r="V83" s="5" t="str">
        <f t="shared" si="11"/>
        <v/>
      </c>
    </row>
    <row r="84" spans="12:22" x14ac:dyDescent="0.35">
      <c r="L84" s="5" t="str">
        <f t="shared" si="10"/>
        <v/>
      </c>
      <c r="V84" s="5" t="str">
        <f t="shared" si="11"/>
        <v/>
      </c>
    </row>
    <row r="85" spans="12:22" x14ac:dyDescent="0.35">
      <c r="L85" s="5" t="str">
        <f t="shared" si="10"/>
        <v/>
      </c>
      <c r="V85" s="5" t="str">
        <f t="shared" si="11"/>
        <v/>
      </c>
    </row>
    <row r="86" spans="12:22" x14ac:dyDescent="0.35">
      <c r="L86" s="5" t="str">
        <f t="shared" si="10"/>
        <v/>
      </c>
      <c r="V86" s="5" t="str">
        <f t="shared" si="11"/>
        <v/>
      </c>
    </row>
    <row r="87" spans="12:22" x14ac:dyDescent="0.35">
      <c r="L87" s="5" t="str">
        <f t="shared" si="10"/>
        <v/>
      </c>
      <c r="V87" s="5" t="str">
        <f t="shared" si="11"/>
        <v/>
      </c>
    </row>
    <row r="88" spans="12:22" x14ac:dyDescent="0.35">
      <c r="L88" s="5" t="str">
        <f t="shared" si="10"/>
        <v/>
      </c>
      <c r="V88" s="5" t="str">
        <f t="shared" si="11"/>
        <v/>
      </c>
    </row>
    <row r="89" spans="12:22" x14ac:dyDescent="0.35">
      <c r="L89" s="5" t="str">
        <f t="shared" si="10"/>
        <v/>
      </c>
      <c r="V89" s="5" t="str">
        <f t="shared" si="11"/>
        <v/>
      </c>
    </row>
    <row r="90" spans="12:22" x14ac:dyDescent="0.35">
      <c r="L90" s="5" t="str">
        <f t="shared" si="10"/>
        <v/>
      </c>
      <c r="V90" s="5" t="str">
        <f t="shared" si="11"/>
        <v/>
      </c>
    </row>
    <row r="91" spans="12:22" x14ac:dyDescent="0.35">
      <c r="L91" s="5" t="str">
        <f t="shared" si="10"/>
        <v/>
      </c>
      <c r="V91" s="5" t="str">
        <f t="shared" si="11"/>
        <v/>
      </c>
    </row>
    <row r="92" spans="12:22" x14ac:dyDescent="0.35">
      <c r="L92" s="5" t="str">
        <f t="shared" si="10"/>
        <v/>
      </c>
      <c r="V92" s="5" t="str">
        <f t="shared" si="11"/>
        <v/>
      </c>
    </row>
    <row r="93" spans="12:22" x14ac:dyDescent="0.35">
      <c r="L93" s="5" t="str">
        <f t="shared" si="10"/>
        <v/>
      </c>
      <c r="V93" s="5" t="str">
        <f t="shared" si="11"/>
        <v/>
      </c>
    </row>
    <row r="94" spans="12:22" x14ac:dyDescent="0.35">
      <c r="L94" s="5" t="str">
        <f t="shared" si="10"/>
        <v/>
      </c>
      <c r="V94" s="5" t="str">
        <f t="shared" si="11"/>
        <v/>
      </c>
    </row>
    <row r="95" spans="12:22" x14ac:dyDescent="0.35">
      <c r="L95" s="5" t="str">
        <f t="shared" si="10"/>
        <v/>
      </c>
      <c r="V95" s="5" t="str">
        <f t="shared" si="11"/>
        <v/>
      </c>
    </row>
    <row r="96" spans="12:22" x14ac:dyDescent="0.35">
      <c r="L96" s="5" t="str">
        <f t="shared" si="10"/>
        <v/>
      </c>
      <c r="V96" s="5" t="str">
        <f t="shared" si="11"/>
        <v/>
      </c>
    </row>
    <row r="97" spans="12:22" x14ac:dyDescent="0.35">
      <c r="L97" s="5" t="str">
        <f t="shared" si="10"/>
        <v/>
      </c>
      <c r="V97" s="5" t="str">
        <f t="shared" si="11"/>
        <v/>
      </c>
    </row>
    <row r="98" spans="12:22" x14ac:dyDescent="0.35">
      <c r="L98" s="5" t="str">
        <f t="shared" si="10"/>
        <v/>
      </c>
      <c r="V98" s="5" t="str">
        <f t="shared" si="11"/>
        <v/>
      </c>
    </row>
    <row r="99" spans="12:22" x14ac:dyDescent="0.35">
      <c r="L99" s="5" t="str">
        <f t="shared" si="10"/>
        <v/>
      </c>
      <c r="V99" s="5" t="str">
        <f t="shared" si="11"/>
        <v/>
      </c>
    </row>
    <row r="100" spans="12:22" x14ac:dyDescent="0.35">
      <c r="L100" s="5" t="str">
        <f t="shared" si="10"/>
        <v/>
      </c>
      <c r="V100" s="5" t="str">
        <f t="shared" si="11"/>
        <v/>
      </c>
    </row>
    <row r="101" spans="12:22" x14ac:dyDescent="0.35">
      <c r="L101" s="5" t="str">
        <f t="shared" si="10"/>
        <v/>
      </c>
      <c r="V101" s="5" t="str">
        <f t="shared" si="11"/>
        <v/>
      </c>
    </row>
    <row r="102" spans="12:22" x14ac:dyDescent="0.35">
      <c r="L102" s="5" t="str">
        <f t="shared" si="10"/>
        <v/>
      </c>
      <c r="V102" s="5" t="str">
        <f t="shared" si="11"/>
        <v/>
      </c>
    </row>
    <row r="103" spans="12:22" x14ac:dyDescent="0.35">
      <c r="L103" s="5" t="str">
        <f t="shared" si="10"/>
        <v/>
      </c>
      <c r="V103" s="5" t="str">
        <f t="shared" si="11"/>
        <v/>
      </c>
    </row>
    <row r="104" spans="12:22" x14ac:dyDescent="0.35">
      <c r="L104" s="5" t="str">
        <f t="shared" si="10"/>
        <v/>
      </c>
      <c r="V104" s="5" t="str">
        <f t="shared" si="11"/>
        <v/>
      </c>
    </row>
    <row r="105" spans="12:22" x14ac:dyDescent="0.35">
      <c r="L105" s="5" t="str">
        <f t="shared" si="10"/>
        <v/>
      </c>
      <c r="V105" s="5" t="str">
        <f t="shared" si="11"/>
        <v/>
      </c>
    </row>
    <row r="106" spans="12:22" x14ac:dyDescent="0.35">
      <c r="L106" s="5" t="str">
        <f t="shared" si="10"/>
        <v/>
      </c>
      <c r="V106" s="5" t="str">
        <f t="shared" si="11"/>
        <v/>
      </c>
    </row>
    <row r="107" spans="12:22" x14ac:dyDescent="0.35">
      <c r="L107" s="5" t="str">
        <f t="shared" si="10"/>
        <v/>
      </c>
      <c r="V107" s="5" t="str">
        <f t="shared" si="11"/>
        <v/>
      </c>
    </row>
    <row r="108" spans="12:22" x14ac:dyDescent="0.35">
      <c r="L108" s="5" t="str">
        <f t="shared" si="10"/>
        <v/>
      </c>
      <c r="V108" s="5" t="str">
        <f t="shared" si="11"/>
        <v/>
      </c>
    </row>
    <row r="109" spans="12:22" x14ac:dyDescent="0.35">
      <c r="L109" s="5" t="str">
        <f t="shared" si="10"/>
        <v/>
      </c>
      <c r="V109" s="5" t="str">
        <f t="shared" si="11"/>
        <v/>
      </c>
    </row>
    <row r="110" spans="12:22" x14ac:dyDescent="0.35">
      <c r="L110" s="5" t="str">
        <f t="shared" si="10"/>
        <v/>
      </c>
      <c r="V110" s="5" t="str">
        <f t="shared" si="11"/>
        <v/>
      </c>
    </row>
    <row r="111" spans="12:22" x14ac:dyDescent="0.35">
      <c r="L111" s="5" t="str">
        <f t="shared" si="10"/>
        <v/>
      </c>
      <c r="V111" s="5" t="str">
        <f t="shared" si="11"/>
        <v/>
      </c>
    </row>
    <row r="112" spans="12:22" x14ac:dyDescent="0.35">
      <c r="L112" s="5" t="str">
        <f t="shared" si="10"/>
        <v/>
      </c>
      <c r="V112" s="5" t="str">
        <f t="shared" si="11"/>
        <v/>
      </c>
    </row>
    <row r="113" spans="12:22" x14ac:dyDescent="0.35">
      <c r="L113" s="5" t="str">
        <f t="shared" si="10"/>
        <v/>
      </c>
      <c r="V113" s="5" t="str">
        <f t="shared" si="11"/>
        <v/>
      </c>
    </row>
    <row r="114" spans="12:22" x14ac:dyDescent="0.35">
      <c r="L114" s="5" t="str">
        <f t="shared" si="10"/>
        <v/>
      </c>
      <c r="V114" s="5" t="str">
        <f t="shared" si="11"/>
        <v/>
      </c>
    </row>
    <row r="115" spans="12:22" x14ac:dyDescent="0.35">
      <c r="L115" s="5" t="str">
        <f t="shared" si="10"/>
        <v/>
      </c>
      <c r="V115" s="5" t="str">
        <f t="shared" si="11"/>
        <v/>
      </c>
    </row>
    <row r="116" spans="12:22" x14ac:dyDescent="0.35">
      <c r="L116" s="5" t="str">
        <f t="shared" si="10"/>
        <v/>
      </c>
      <c r="V116" s="5" t="str">
        <f t="shared" si="11"/>
        <v/>
      </c>
    </row>
    <row r="117" spans="12:22" x14ac:dyDescent="0.35">
      <c r="L117" s="5" t="str">
        <f t="shared" si="10"/>
        <v/>
      </c>
      <c r="V117" s="5" t="str">
        <f t="shared" si="11"/>
        <v/>
      </c>
    </row>
    <row r="118" spans="12:22" x14ac:dyDescent="0.35">
      <c r="L118" s="5" t="str">
        <f t="shared" si="10"/>
        <v/>
      </c>
      <c r="V118" s="5" t="str">
        <f t="shared" si="11"/>
        <v/>
      </c>
    </row>
    <row r="119" spans="12:22" x14ac:dyDescent="0.35">
      <c r="L119" s="5" t="str">
        <f t="shared" si="10"/>
        <v/>
      </c>
      <c r="V119" s="5" t="str">
        <f t="shared" si="11"/>
        <v/>
      </c>
    </row>
    <row r="120" spans="12:22" x14ac:dyDescent="0.35">
      <c r="L120" s="5" t="str">
        <f t="shared" si="10"/>
        <v/>
      </c>
      <c r="V120" s="5" t="str">
        <f t="shared" si="11"/>
        <v/>
      </c>
    </row>
    <row r="121" spans="12:22" x14ac:dyDescent="0.35">
      <c r="L121" s="5" t="str">
        <f t="shared" si="10"/>
        <v/>
      </c>
      <c r="V121" s="5" t="str">
        <f t="shared" si="11"/>
        <v/>
      </c>
    </row>
    <row r="122" spans="12:22" x14ac:dyDescent="0.35">
      <c r="L122" s="5" t="str">
        <f t="shared" si="10"/>
        <v/>
      </c>
      <c r="V122" s="5" t="str">
        <f t="shared" si="11"/>
        <v/>
      </c>
    </row>
    <row r="123" spans="12:22" x14ac:dyDescent="0.35">
      <c r="L123" s="5" t="str">
        <f t="shared" si="10"/>
        <v/>
      </c>
      <c r="V123" s="5" t="str">
        <f t="shared" si="11"/>
        <v/>
      </c>
    </row>
    <row r="124" spans="12:22" x14ac:dyDescent="0.35">
      <c r="L124" s="5" t="str">
        <f t="shared" si="10"/>
        <v/>
      </c>
      <c r="V124" s="5" t="str">
        <f t="shared" si="11"/>
        <v/>
      </c>
    </row>
    <row r="125" spans="12:22" x14ac:dyDescent="0.35">
      <c r="L125" s="5" t="str">
        <f t="shared" si="10"/>
        <v/>
      </c>
      <c r="V125" s="5" t="str">
        <f t="shared" si="11"/>
        <v/>
      </c>
    </row>
    <row r="126" spans="12:22" x14ac:dyDescent="0.35">
      <c r="L126" s="5" t="str">
        <f t="shared" si="10"/>
        <v/>
      </c>
      <c r="V126" s="5" t="str">
        <f t="shared" si="11"/>
        <v/>
      </c>
    </row>
    <row r="127" spans="12:22" x14ac:dyDescent="0.35">
      <c r="L127" s="5" t="str">
        <f t="shared" si="10"/>
        <v/>
      </c>
      <c r="V127" s="5" t="str">
        <f t="shared" si="11"/>
        <v/>
      </c>
    </row>
    <row r="128" spans="12:22" x14ac:dyDescent="0.35">
      <c r="L128" s="5" t="str">
        <f t="shared" si="10"/>
        <v/>
      </c>
      <c r="V128" s="5" t="str">
        <f t="shared" si="11"/>
        <v/>
      </c>
    </row>
    <row r="129" spans="12:22" x14ac:dyDescent="0.35">
      <c r="L129" s="5" t="str">
        <f t="shared" si="10"/>
        <v/>
      </c>
      <c r="V129" s="5" t="str">
        <f t="shared" si="11"/>
        <v/>
      </c>
    </row>
    <row r="130" spans="12:22" x14ac:dyDescent="0.35">
      <c r="L130" s="5" t="str">
        <f t="shared" si="10"/>
        <v/>
      </c>
      <c r="V130" s="5" t="str">
        <f t="shared" si="11"/>
        <v/>
      </c>
    </row>
    <row r="131" spans="12:22" x14ac:dyDescent="0.35">
      <c r="L131" s="5" t="str">
        <f t="shared" si="10"/>
        <v/>
      </c>
      <c r="V131" s="5" t="str">
        <f t="shared" si="11"/>
        <v/>
      </c>
    </row>
    <row r="132" spans="12:22" x14ac:dyDescent="0.35">
      <c r="L132" s="5" t="str">
        <f t="shared" si="10"/>
        <v/>
      </c>
      <c r="V132" s="5" t="str">
        <f t="shared" si="11"/>
        <v/>
      </c>
    </row>
    <row r="133" spans="12:22" x14ac:dyDescent="0.35">
      <c r="L133" s="5" t="str">
        <f t="shared" si="10"/>
        <v/>
      </c>
      <c r="V133" s="5" t="str">
        <f t="shared" si="11"/>
        <v/>
      </c>
    </row>
    <row r="134" spans="12:22" x14ac:dyDescent="0.35">
      <c r="L134" s="5" t="str">
        <f t="shared" si="10"/>
        <v/>
      </c>
      <c r="V134" s="5" t="str">
        <f t="shared" si="11"/>
        <v/>
      </c>
    </row>
    <row r="135" spans="12:22" x14ac:dyDescent="0.35">
      <c r="L135" s="5" t="str">
        <f t="shared" si="10"/>
        <v/>
      </c>
      <c r="V135" s="5" t="str">
        <f t="shared" si="11"/>
        <v/>
      </c>
    </row>
    <row r="136" spans="12:22" x14ac:dyDescent="0.35">
      <c r="V136" s="5" t="str">
        <f t="shared" si="11"/>
        <v/>
      </c>
    </row>
    <row r="137" spans="12:22" x14ac:dyDescent="0.35">
      <c r="V137" s="5" t="str">
        <f t="shared" si="11"/>
        <v/>
      </c>
    </row>
    <row r="138" spans="12:22" x14ac:dyDescent="0.35">
      <c r="V138" s="5" t="str">
        <f t="shared" si="11"/>
        <v/>
      </c>
    </row>
    <row r="139" spans="12:22" x14ac:dyDescent="0.35">
      <c r="V139" s="5" t="str">
        <f t="shared" si="11"/>
        <v/>
      </c>
    </row>
    <row r="140" spans="12:22" x14ac:dyDescent="0.35">
      <c r="V140" s="5" t="str">
        <f t="shared" ref="V140:V171" si="12">IF(U140,"s","")</f>
        <v/>
      </c>
    </row>
    <row r="141" spans="12:22" x14ac:dyDescent="0.35">
      <c r="V141" s="5" t="str">
        <f t="shared" si="12"/>
        <v/>
      </c>
    </row>
    <row r="142" spans="12:22" x14ac:dyDescent="0.35">
      <c r="V142" s="5" t="str">
        <f t="shared" si="12"/>
        <v/>
      </c>
    </row>
    <row r="143" spans="12:22" x14ac:dyDescent="0.35">
      <c r="V143" s="5" t="str">
        <f t="shared" si="12"/>
        <v/>
      </c>
    </row>
    <row r="144" spans="12:22" x14ac:dyDescent="0.35">
      <c r="V144" s="5" t="str">
        <f t="shared" si="12"/>
        <v/>
      </c>
    </row>
    <row r="145" spans="22:22" x14ac:dyDescent="0.35">
      <c r="V145" s="5" t="str">
        <f t="shared" si="12"/>
        <v/>
      </c>
    </row>
    <row r="146" spans="22:22" x14ac:dyDescent="0.35">
      <c r="V146" s="5" t="str">
        <f t="shared" si="12"/>
        <v/>
      </c>
    </row>
    <row r="147" spans="22:22" x14ac:dyDescent="0.35">
      <c r="V147" s="5" t="str">
        <f t="shared" si="12"/>
        <v/>
      </c>
    </row>
    <row r="148" spans="22:22" x14ac:dyDescent="0.35">
      <c r="V148" s="5" t="str">
        <f t="shared" si="12"/>
        <v/>
      </c>
    </row>
    <row r="149" spans="22:22" x14ac:dyDescent="0.35">
      <c r="V149" s="5" t="str">
        <f t="shared" si="12"/>
        <v/>
      </c>
    </row>
    <row r="150" spans="22:22" x14ac:dyDescent="0.35">
      <c r="V150" s="5" t="str">
        <f t="shared" si="12"/>
        <v/>
      </c>
    </row>
    <row r="151" spans="22:22" x14ac:dyDescent="0.35">
      <c r="V151" s="5" t="str">
        <f t="shared" si="12"/>
        <v/>
      </c>
    </row>
    <row r="152" spans="22:22" x14ac:dyDescent="0.35">
      <c r="V152" s="5" t="str">
        <f t="shared" si="12"/>
        <v/>
      </c>
    </row>
    <row r="153" spans="22:22" x14ac:dyDescent="0.35">
      <c r="V153" s="5" t="str">
        <f t="shared" si="12"/>
        <v/>
      </c>
    </row>
    <row r="154" spans="22:22" x14ac:dyDescent="0.35">
      <c r="V154" s="5" t="str">
        <f t="shared" si="12"/>
        <v/>
      </c>
    </row>
    <row r="155" spans="22:22" x14ac:dyDescent="0.35">
      <c r="V155" s="5" t="str">
        <f t="shared" si="12"/>
        <v/>
      </c>
    </row>
    <row r="156" spans="22:22" x14ac:dyDescent="0.35">
      <c r="V156" s="5" t="str">
        <f t="shared" si="12"/>
        <v/>
      </c>
    </row>
    <row r="157" spans="22:22" x14ac:dyDescent="0.35">
      <c r="V157" s="5" t="str">
        <f t="shared" si="12"/>
        <v/>
      </c>
    </row>
    <row r="158" spans="22:22" x14ac:dyDescent="0.35">
      <c r="V158" s="5" t="str">
        <f t="shared" si="12"/>
        <v/>
      </c>
    </row>
    <row r="159" spans="22:22" x14ac:dyDescent="0.35">
      <c r="V159" s="5" t="str">
        <f t="shared" si="12"/>
        <v/>
      </c>
    </row>
    <row r="160" spans="22:22" x14ac:dyDescent="0.35">
      <c r="V160" s="5" t="str">
        <f t="shared" si="12"/>
        <v/>
      </c>
    </row>
    <row r="161" spans="22:22" x14ac:dyDescent="0.35">
      <c r="V161" s="5" t="str">
        <f t="shared" si="12"/>
        <v/>
      </c>
    </row>
    <row r="162" spans="22:22" x14ac:dyDescent="0.35">
      <c r="V162" s="5" t="str">
        <f t="shared" si="12"/>
        <v/>
      </c>
    </row>
    <row r="163" spans="22:22" x14ac:dyDescent="0.35">
      <c r="V163" s="5" t="str">
        <f t="shared" si="12"/>
        <v/>
      </c>
    </row>
    <row r="164" spans="22:22" x14ac:dyDescent="0.35">
      <c r="V164" s="5" t="str">
        <f t="shared" si="12"/>
        <v/>
      </c>
    </row>
    <row r="165" spans="22:22" x14ac:dyDescent="0.35">
      <c r="V165" s="5" t="str">
        <f t="shared" si="12"/>
        <v/>
      </c>
    </row>
    <row r="166" spans="22:22" x14ac:dyDescent="0.35">
      <c r="V166" s="5" t="str">
        <f t="shared" si="12"/>
        <v/>
      </c>
    </row>
    <row r="167" spans="22:22" x14ac:dyDescent="0.35">
      <c r="V167" s="5" t="str">
        <f t="shared" si="12"/>
        <v/>
      </c>
    </row>
    <row r="168" spans="22:22" x14ac:dyDescent="0.35">
      <c r="V168" s="5" t="str">
        <f t="shared" si="12"/>
        <v/>
      </c>
    </row>
    <row r="169" spans="22:22" x14ac:dyDescent="0.35">
      <c r="V169" s="5" t="str">
        <f t="shared" si="12"/>
        <v/>
      </c>
    </row>
    <row r="170" spans="22:22" x14ac:dyDescent="0.35">
      <c r="V170" s="5" t="str">
        <f t="shared" si="12"/>
        <v/>
      </c>
    </row>
    <row r="171" spans="22:22" x14ac:dyDescent="0.35">
      <c r="V171" s="5" t="str">
        <f t="shared" si="12"/>
        <v/>
      </c>
    </row>
  </sheetData>
  <mergeCells count="7">
    <mergeCell ref="AI10:AJ10"/>
    <mergeCell ref="O5:P5"/>
    <mergeCell ref="U10:V10"/>
    <mergeCell ref="C10:D10"/>
    <mergeCell ref="AC10:AD10"/>
    <mergeCell ref="K10:L10"/>
    <mergeCell ref="G10:H10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0A3D-F2C1-4887-B79B-D69ED77F9049}">
  <dimension ref="B2:N19"/>
  <sheetViews>
    <sheetView topLeftCell="A13" zoomScale="85" workbookViewId="0">
      <selection activeCell="D2" sqref="D2"/>
    </sheetView>
  </sheetViews>
  <sheetFormatPr baseColWidth="10" defaultColWidth="11.42578125" defaultRowHeight="17.25" x14ac:dyDescent="0.35"/>
  <cols>
    <col min="1" max="1" width="11.42578125" style="5"/>
    <col min="2" max="2" width="24" style="5" bestFit="1" customWidth="1"/>
    <col min="3" max="3" width="11.5703125" style="5" bestFit="1" customWidth="1"/>
    <col min="4" max="4" width="11.28515625" style="5" bestFit="1" customWidth="1"/>
    <col min="5" max="5" width="11.42578125" style="5"/>
    <col min="6" max="6" width="18.85546875" style="5" bestFit="1" customWidth="1"/>
    <col min="7" max="7" width="15.85546875" style="5" bestFit="1" customWidth="1"/>
    <col min="8" max="8" width="11.7109375" style="5" bestFit="1" customWidth="1"/>
    <col min="9" max="10" width="16.28515625" style="5" bestFit="1" customWidth="1"/>
    <col min="11" max="13" width="11.7109375" style="5" bestFit="1" customWidth="1"/>
    <col min="14" max="16384" width="11.42578125" style="5"/>
  </cols>
  <sheetData>
    <row r="2" spans="2:14" ht="19.5" x14ac:dyDescent="0.35">
      <c r="B2" s="7" t="s">
        <v>52</v>
      </c>
      <c r="C2" s="13">
        <f>-Datos!$C$4*Datos!$O$4/(PI()*Datos!$G$4^2*Datos!$U$4)*LN((Datos!$AC$4-Datos!$K$4)/(Datos!$Y$4-Datos!$K$4))</f>
        <v>36.280696837141683</v>
      </c>
      <c r="D2" s="4" t="s">
        <v>35</v>
      </c>
    </row>
    <row r="3" spans="2:14" x14ac:dyDescent="0.35">
      <c r="G3" s="25" t="s">
        <v>36</v>
      </c>
      <c r="H3" s="25"/>
      <c r="I3" s="25"/>
      <c r="J3" s="25"/>
      <c r="K3" s="25"/>
      <c r="L3" s="25"/>
      <c r="M3" s="25"/>
    </row>
    <row r="4" spans="2:14" ht="21.75" customHeight="1" x14ac:dyDescent="0.4">
      <c r="B4" s="7" t="s">
        <v>53</v>
      </c>
      <c r="C4" s="13">
        <f>Datos!$C$4*Datos!$O$4/(PI()*Datos!$G$4^2*Datos!$U$4)</f>
        <v>25.923571946336278</v>
      </c>
      <c r="D4" s="21" t="s">
        <v>35</v>
      </c>
      <c r="F4" s="3" t="s">
        <v>37</v>
      </c>
      <c r="G4" s="8" t="s">
        <v>11</v>
      </c>
      <c r="H4" s="8" t="s">
        <v>38</v>
      </c>
      <c r="I4" s="8" t="s">
        <v>29</v>
      </c>
      <c r="J4" s="10" t="s">
        <v>32</v>
      </c>
      <c r="K4" s="8" t="s">
        <v>39</v>
      </c>
      <c r="L4" s="16" t="s">
        <v>40</v>
      </c>
      <c r="M4" s="8" t="s">
        <v>31</v>
      </c>
    </row>
    <row r="5" spans="2:14" x14ac:dyDescent="0.35">
      <c r="D5"/>
      <c r="F5" s="6" t="s">
        <v>41</v>
      </c>
      <c r="G5" s="4">
        <f>Datos!C6/SQRT(12)</f>
        <v>2.8867513459481292E-9</v>
      </c>
      <c r="H5" s="2" t="s">
        <v>25</v>
      </c>
      <c r="I5" s="4">
        <f>Datos!G6/SQRT(12)</f>
        <v>2.8867513459481293E-6</v>
      </c>
      <c r="J5" s="4">
        <f>Datos!U6/SQRT(12)</f>
        <v>4.8112522432468812E-3</v>
      </c>
      <c r="K5" s="4">
        <f>Datos!AC6/SQRT(12)</f>
        <v>2.8867513459481291E-2</v>
      </c>
      <c r="L5" s="4">
        <f>Datos!Y6/SQRT(12)</f>
        <v>2.8867513459481291E-2</v>
      </c>
      <c r="M5" s="4">
        <f>Datos!K6/SQRT(12)</f>
        <v>2.8867513459481291E-2</v>
      </c>
    </row>
    <row r="6" spans="2:14" x14ac:dyDescent="0.35">
      <c r="C6"/>
      <c r="D6"/>
      <c r="F6" s="6" t="s">
        <v>42</v>
      </c>
      <c r="G6" s="4">
        <f>Datos!C8/SQRT(COUNT(Datos!C11:C16))</f>
        <v>2.2211108331980893E-8</v>
      </c>
      <c r="H6" s="2" t="s">
        <v>25</v>
      </c>
      <c r="I6" s="4">
        <f>Datos!G8/SQRT(COUNT(Datos!G11:G16))</f>
        <v>2.1081851067788341E-6</v>
      </c>
      <c r="J6" s="2">
        <f>Datos!U7/SQRT(COUNT(Datos!U11:U20))</f>
        <v>0</v>
      </c>
      <c r="K6" s="2">
        <f>Datos!AC8/SQRT(COUNT(Datos!AC11:AC20))</f>
        <v>0.49181071336214055</v>
      </c>
      <c r="L6" s="2">
        <f>Datos!Y8/SQRT(COUNT(Datos!Y11:Y20))</f>
        <v>1.6645319662495723</v>
      </c>
      <c r="M6" s="2">
        <f>Datos!K8/SQRT(COUNT(Datos!K11:K20))</f>
        <v>0.1021980647783724</v>
      </c>
    </row>
    <row r="7" spans="2:14" x14ac:dyDescent="0.35">
      <c r="C7"/>
      <c r="D7"/>
      <c r="F7" s="6" t="s">
        <v>43</v>
      </c>
      <c r="G7" s="4">
        <f>Datos!C7/2</f>
        <v>9.9999999999999995E-7</v>
      </c>
      <c r="H7" s="20" t="s">
        <v>25</v>
      </c>
      <c r="I7" s="4">
        <f>Datos!G7/2</f>
        <v>1.0000000000000001E-5</v>
      </c>
      <c r="J7" s="2" t="s">
        <v>25</v>
      </c>
      <c r="K7" s="2">
        <f>Datos!$AC$7/2</f>
        <v>0.3</v>
      </c>
      <c r="L7" s="2">
        <f>Datos!$Y$7/2</f>
        <v>0.3</v>
      </c>
      <c r="M7" s="2">
        <f>Datos!$K$7/2</f>
        <v>0.3</v>
      </c>
    </row>
    <row r="8" spans="2:14" x14ac:dyDescent="0.35">
      <c r="C8"/>
      <c r="D8"/>
    </row>
    <row r="9" spans="2:14" x14ac:dyDescent="0.35">
      <c r="C9"/>
      <c r="D9"/>
      <c r="F9" s="3" t="s">
        <v>44</v>
      </c>
      <c r="G9" s="4">
        <f>SQRT(SUMSQ(G5:G7))</f>
        <v>1.000250801882542E-6</v>
      </c>
      <c r="H9" s="4">
        <f t="shared" ref="H9:M9" si="0">SQRT(SUMSQ(H5:H7))</f>
        <v>0</v>
      </c>
      <c r="I9" s="4">
        <f t="shared" si="0"/>
        <v>1.0619688214715977E-5</v>
      </c>
      <c r="J9" s="4">
        <f t="shared" si="0"/>
        <v>4.8112522432468812E-3</v>
      </c>
      <c r="K9" s="4">
        <f t="shared" si="0"/>
        <v>0.57681115723528698</v>
      </c>
      <c r="L9" s="4">
        <f t="shared" si="0"/>
        <v>1.6915968786918474</v>
      </c>
      <c r="M9" s="4">
        <f t="shared" si="0"/>
        <v>0.31824169710736794</v>
      </c>
    </row>
    <row r="10" spans="2:14" x14ac:dyDescent="0.35">
      <c r="C10"/>
      <c r="D10"/>
    </row>
    <row r="11" spans="2:14" x14ac:dyDescent="0.35">
      <c r="C11"/>
      <c r="D11"/>
      <c r="F11" s="3" t="s">
        <v>45</v>
      </c>
      <c r="G11" s="4">
        <f>C2/Datos!C4</f>
        <v>5272.5677459830404</v>
      </c>
      <c r="H11" s="4">
        <f>C2/Datos!O4</f>
        <v>8.0623770749203738E-2</v>
      </c>
      <c r="I11" s="4">
        <f>-2/Datos!G4*Incertidumbres!C2</f>
        <v>-6114.7241860351151</v>
      </c>
      <c r="J11" s="4">
        <f>-C2/Datos!U4</f>
        <v>-0.13437295124867291</v>
      </c>
      <c r="K11" s="4">
        <f>-$C$4/(Datos!$AC$4-Datos!$K$4)</f>
        <v>-1.8663478723064275</v>
      </c>
      <c r="L11" s="4">
        <f>$C$4/(Datos!$Y$4-Datos!$K$4)</f>
        <v>0.46045420863829972</v>
      </c>
      <c r="M11" s="4">
        <f>-$C$4*(1/(Datos!$AC$4-Datos!$K$4)-1/(Datos!$Y$4-Datos!$K$4))</f>
        <v>-1.4058936636681276</v>
      </c>
    </row>
    <row r="12" spans="2:14" x14ac:dyDescent="0.35">
      <c r="C12"/>
      <c r="D12"/>
      <c r="G12" s="11">
        <f t="shared" ref="G12:M12" si="1">G13^2</f>
        <v>2.7813916954583108E-5</v>
      </c>
      <c r="H12" s="11">
        <f t="shared" si="1"/>
        <v>0</v>
      </c>
      <c r="I12" s="11">
        <f t="shared" si="1"/>
        <v>4.2167444054835466E-3</v>
      </c>
      <c r="J12" s="11">
        <f t="shared" si="1"/>
        <v>4.1796504692773666E-7</v>
      </c>
      <c r="K12" s="11">
        <f t="shared" si="1"/>
        <v>1.1589174352063991</v>
      </c>
      <c r="L12" s="11">
        <f t="shared" si="1"/>
        <v>0.60668973092016654</v>
      </c>
      <c r="M12" s="11">
        <f t="shared" si="1"/>
        <v>0.20017927440152281</v>
      </c>
    </row>
    <row r="13" spans="2:14" x14ac:dyDescent="0.35">
      <c r="F13" s="3" t="s">
        <v>46</v>
      </c>
      <c r="G13" s="4">
        <f>G11*G9</f>
        <v>5.2738901158995632E-3</v>
      </c>
      <c r="H13" s="4">
        <f t="shared" ref="H13:M13" si="2">H11*H9</f>
        <v>0</v>
      </c>
      <c r="I13" s="4">
        <f t="shared" si="2"/>
        <v>-6.4936464374675859E-2</v>
      </c>
      <c r="J13" s="4">
        <f t="shared" si="2"/>
        <v>-6.4650216312688133E-4</v>
      </c>
      <c r="K13" s="4">
        <f t="shared" si="2"/>
        <v>-1.0765302760286861</v>
      </c>
      <c r="L13" s="4">
        <f t="shared" si="2"/>
        <v>0.77890290211307245</v>
      </c>
      <c r="M13" s="4">
        <f t="shared" si="2"/>
        <v>-0.44741398547824007</v>
      </c>
    </row>
    <row r="14" spans="2:14" x14ac:dyDescent="0.35">
      <c r="G14" s="14">
        <f>G12/$G$16</f>
        <v>1.4118514414121622E-5</v>
      </c>
      <c r="H14" s="14">
        <f t="shared" ref="H14:M14" si="3">H12/$G$16</f>
        <v>0</v>
      </c>
      <c r="I14" s="14">
        <f t="shared" si="3"/>
        <v>2.1404452586343209E-3</v>
      </c>
      <c r="J14" s="14">
        <f t="shared" si="3"/>
        <v>2.1216161496721196E-7</v>
      </c>
      <c r="K14" s="14">
        <f t="shared" si="3"/>
        <v>0.58827358046894163</v>
      </c>
      <c r="L14" s="14">
        <f t="shared" si="3"/>
        <v>0.3079594191958831</v>
      </c>
      <c r="M14" s="14">
        <f t="shared" si="3"/>
        <v>0.10161222440051211</v>
      </c>
      <c r="N14" s="15"/>
    </row>
    <row r="15" spans="2:14" ht="19.5" x14ac:dyDescent="0.35">
      <c r="F15" s="3" t="s">
        <v>47</v>
      </c>
      <c r="G15" s="4">
        <f>SQRT(SUMSQ(G13:M13))</f>
        <v>1.4035780764943477</v>
      </c>
      <c r="H15" s="4" t="s">
        <v>35</v>
      </c>
    </row>
    <row r="16" spans="2:14" x14ac:dyDescent="0.35">
      <c r="G16" s="11">
        <f>G15^2</f>
        <v>1.970031416815573</v>
      </c>
    </row>
    <row r="17" spans="6:8" ht="19.5" x14ac:dyDescent="0.35">
      <c r="F17" s="3" t="s">
        <v>48</v>
      </c>
      <c r="G17" s="12">
        <f>2*G15</f>
        <v>2.8071561529886955</v>
      </c>
      <c r="H17" s="4" t="s">
        <v>35</v>
      </c>
    </row>
    <row r="19" spans="6:8" ht="19.5" x14ac:dyDescent="0.35">
      <c r="F19" s="3" t="s">
        <v>49</v>
      </c>
      <c r="G19" s="17" t="str">
        <f>"(" &amp; ROUND(C2,1)&amp; " ± " &amp; ROUND(G17,1) &amp; ")"</f>
        <v>(36.3 ± 2.8)</v>
      </c>
      <c r="H19" s="4" t="s">
        <v>35</v>
      </c>
    </row>
  </sheetData>
  <mergeCells count="1">
    <mergeCell ref="G3:M3"/>
  </mergeCells>
  <phoneticPr fontId="7" type="noConversion"/>
  <pageMargins left="0.7" right="0.7" top="0.75" bottom="0.75" header="0.3" footer="0.3"/>
  <ignoredErrors>
    <ignoredError sqref="L5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9bb595-5690-4da6-a086-f342440853a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9798EAEBFA5A4A9913F6B0A3B45A5A" ma:contentTypeVersion="13" ma:contentTypeDescription="Crear nuevo documento." ma:contentTypeScope="" ma:versionID="a4215f2761af8fa54c30bc9fb27859db">
  <xsd:schema xmlns:xsd="http://www.w3.org/2001/XMLSchema" xmlns:xs="http://www.w3.org/2001/XMLSchema" xmlns:p="http://schemas.microsoft.com/office/2006/metadata/properties" xmlns:ns3="a99bb595-5690-4da6-a086-f342440853a3" xmlns:ns4="fe450fb0-88ff-4b15-a0b1-da6033a8cb12" targetNamespace="http://schemas.microsoft.com/office/2006/metadata/properties" ma:root="true" ma:fieldsID="8a18cc84a2f1c86bfc16ba66351800c1" ns3:_="" ns4:_="">
    <xsd:import namespace="a99bb595-5690-4da6-a086-f342440853a3"/>
    <xsd:import namespace="fe450fb0-88ff-4b15-a0b1-da6033a8cb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bb595-5690-4da6-a086-f342440853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50fb0-88ff-4b15-a0b1-da6033a8cb1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58285-3E43-4805-B782-A0A7864AC68D}">
  <ds:schemaRefs>
    <ds:schemaRef ds:uri="http://schemas.microsoft.com/office/2006/metadata/properties"/>
    <ds:schemaRef ds:uri="http://schemas.microsoft.com/office/infopath/2007/PartnerControls"/>
    <ds:schemaRef ds:uri="a99bb595-5690-4da6-a086-f342440853a3"/>
  </ds:schemaRefs>
</ds:datastoreItem>
</file>

<file path=customXml/itemProps2.xml><?xml version="1.0" encoding="utf-8"?>
<ds:datastoreItem xmlns:ds="http://schemas.openxmlformats.org/officeDocument/2006/customXml" ds:itemID="{046952D5-B27C-4A1E-A572-F848EA6C33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3CB565-2BC2-4DB4-83AF-3F1F55B71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9bb595-5690-4da6-a086-f342440853a3"/>
    <ds:schemaRef ds:uri="fe450fb0-88ff-4b15-a0b1-da6033a8c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Portada</vt:lpstr>
      <vt:lpstr>Datos</vt:lpstr>
      <vt:lpstr>Incertidumbres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TORRES VENEGAS</dc:creator>
  <cp:keywords/>
  <dc:description/>
  <cp:lastModifiedBy>ALEJANDRO TORRES VENEGAS</cp:lastModifiedBy>
  <cp:revision/>
  <dcterms:created xsi:type="dcterms:W3CDTF">2026-05-30T21:10:38Z</dcterms:created>
  <dcterms:modified xsi:type="dcterms:W3CDTF">2026-06-07T21:54:19Z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0x010100F19798EAEBFA5A4A9913F6B0A3B45A5A</vt:lpwstr>
  </property>
</Properties>
</file>